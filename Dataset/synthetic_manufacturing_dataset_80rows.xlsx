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cza\OneDrive\Documents\1.DATA\PyCharm Doc\Project\Ecosystem Production\Dataset\"/>
    </mc:Choice>
  </mc:AlternateContent>
  <xr:revisionPtr revIDLastSave="0" documentId="13_ncr:1_{4C419D3C-7CCE-484B-BCA9-5747E36D6C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Sheet1!$A$1:$AG$81</definedName>
  </definedNames>
  <calcPr calcId="191029"/>
</workbook>
</file>

<file path=xl/calcChain.xml><?xml version="1.0" encoding="utf-8"?>
<calcChain xmlns="http://schemas.openxmlformats.org/spreadsheetml/2006/main">
  <c r="A81" i="1" l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<sst xmlns="http://schemas.openxmlformats.org/spreadsheetml/2006/main" count="113" uniqueCount="99">
  <si>
    <t>part_name</t>
  </si>
  <si>
    <t>part_no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</si>
  <si>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</si>
  <si>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</si>
  <si>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</si>
  <si>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</si>
  <si>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</si>
  <si>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</si>
  <si>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</si>
  <si>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</si>
  <si>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</si>
  <si>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</si>
  <si>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</si>
  <si>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</si>
  <si>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</si>
  <si>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</si>
  <si>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</si>
  <si>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</si>
  <si>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</si>
  <si>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</si>
  <si>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</si>
  <si>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</si>
  <si>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</si>
  <si>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</si>
  <si>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</si>
  <si>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</si>
  <si>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</si>
  <si>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</si>
  <si>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</si>
  <si>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</si>
  <si>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</si>
  <si>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</si>
  <si>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</si>
  <si>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7437A976XA</t>
  </si>
  <si>
    <t>7517A642XA</t>
  </si>
  <si>
    <t>MSB55992</t>
  </si>
  <si>
    <t>MSB40526</t>
  </si>
  <si>
    <t>7351A466XA</t>
  </si>
  <si>
    <t>DHT22126</t>
  </si>
  <si>
    <t>DHT85196</t>
  </si>
  <si>
    <t>DHT97502</t>
  </si>
  <si>
    <t>DHT63648</t>
  </si>
  <si>
    <t>DHT17861</t>
  </si>
  <si>
    <t>7418A733XA</t>
  </si>
  <si>
    <t>7016A525XA</t>
  </si>
  <si>
    <t>DHT94106</t>
  </si>
  <si>
    <t>DHT12291</t>
  </si>
  <si>
    <t>7100A698XA</t>
  </si>
  <si>
    <t>7222A613XA</t>
  </si>
  <si>
    <t>7927A898XA</t>
  </si>
  <si>
    <t>DHT38078</t>
  </si>
  <si>
    <t>7003A576XA</t>
  </si>
  <si>
    <t>DHT53637</t>
  </si>
  <si>
    <t>7146A722XA</t>
  </si>
  <si>
    <t>7487A213XA</t>
  </si>
  <si>
    <t>7552A302XA</t>
  </si>
  <si>
    <t>DHT43952</t>
  </si>
  <si>
    <t>7032A837XA</t>
  </si>
  <si>
    <t>DHT77381</t>
  </si>
  <si>
    <t>MSB88274</t>
  </si>
  <si>
    <t>MSB90947</t>
  </si>
  <si>
    <t>7758A548XA</t>
  </si>
  <si>
    <t>DHT27324</t>
  </si>
  <si>
    <t>DHT21483</t>
  </si>
  <si>
    <t>7855A368XA</t>
  </si>
  <si>
    <t>MSB41882</t>
  </si>
  <si>
    <t>DHT63635</t>
  </si>
  <si>
    <t>MSB50494</t>
  </si>
  <si>
    <t>7371A237XA</t>
  </si>
  <si>
    <t>DHT74919</t>
  </si>
  <si>
    <t>MSB43195</t>
  </si>
  <si>
    <t>DHT24377</t>
  </si>
  <si>
    <t>MSB58531</t>
  </si>
  <si>
    <t>MSB73035</t>
  </si>
  <si>
    <t>MSB83379</t>
  </si>
  <si>
    <t>MSB44793</t>
  </si>
  <si>
    <t>MSB58539</t>
  </si>
  <si>
    <t>DHT97594</t>
  </si>
  <si>
    <t>DHT67021</t>
  </si>
  <si>
    <t>7134A156XA</t>
  </si>
  <si>
    <t>7918A363XA</t>
  </si>
  <si>
    <t>7090A706XA</t>
  </si>
  <si>
    <t>DHT99001</t>
  </si>
  <si>
    <t>7562A703XA</t>
  </si>
  <si>
    <t>MSB57705</t>
  </si>
  <si>
    <t>MSB59526</t>
  </si>
  <si>
    <t>DHT50158</t>
  </si>
  <si>
    <t>7765A520XA</t>
  </si>
  <si>
    <t>MSB53738</t>
  </si>
  <si>
    <t>MSB18362</t>
  </si>
  <si>
    <t>DHT20306</t>
  </si>
  <si>
    <t>DHT83559</t>
  </si>
  <si>
    <t>7527A843XA</t>
  </si>
  <si>
    <t>DHT47974</t>
  </si>
  <si>
    <t>7952A378XA</t>
  </si>
  <si>
    <t>DHT87314</t>
  </si>
  <si>
    <t>MSB14995</t>
  </si>
  <si>
    <t>DHT88528</t>
  </si>
  <si>
    <t>7487A129XA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</si>
</sst>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_sample_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part_no</v>
          </cell>
          <cell r="E1" t="str">
            <v>PART_NAME</v>
          </cell>
        </row>
        <row r="2">
          <cell r="D2" t="str">
            <v>7607A824XA</v>
          </cell>
          <cell r="E2" t="str">
            <v>Part 1 for Rush</v>
          </cell>
        </row>
        <row r="3">
          <cell r="D3" t="str">
            <v>DHT65388</v>
          </cell>
          <cell r="E3" t="str">
            <v>Part 2 for Xenia</v>
          </cell>
        </row>
        <row r="4">
          <cell r="D4" t="str">
            <v>7527A843XA</v>
          </cell>
          <cell r="E4" t="str">
            <v>Part 3 for Yaris</v>
          </cell>
        </row>
        <row r="5">
          <cell r="D5" t="str">
            <v>MSB59357</v>
          </cell>
          <cell r="E5" t="str">
            <v>Part 4 for Xpander</v>
          </cell>
        </row>
        <row r="6">
          <cell r="D6" t="str">
            <v>DHT81292</v>
          </cell>
          <cell r="E6" t="str">
            <v>Part 5 for Xenia</v>
          </cell>
        </row>
        <row r="7">
          <cell r="D7" t="str">
            <v>MSB47992</v>
          </cell>
          <cell r="E7" t="str">
            <v>Part 6 for Xpander</v>
          </cell>
        </row>
        <row r="8">
          <cell r="D8" t="str">
            <v>7414A959XA</v>
          </cell>
          <cell r="E8" t="str">
            <v>Part 7 for Yaris</v>
          </cell>
        </row>
        <row r="9">
          <cell r="D9" t="str">
            <v>MSB20667</v>
          </cell>
          <cell r="E9" t="str">
            <v>Part 8 for Triton</v>
          </cell>
        </row>
        <row r="10">
          <cell r="D10" t="str">
            <v>MSB78711</v>
          </cell>
          <cell r="E10" t="str">
            <v>Part 9 for Triton</v>
          </cell>
        </row>
        <row r="11">
          <cell r="D11" t="str">
            <v>MSB92784</v>
          </cell>
          <cell r="E11" t="str">
            <v>Part 10 for Pajero Sport</v>
          </cell>
        </row>
        <row r="12">
          <cell r="D12" t="str">
            <v>7133A368XA</v>
          </cell>
          <cell r="E12" t="str">
            <v>Part 11 for Yaris</v>
          </cell>
        </row>
        <row r="13">
          <cell r="D13" t="str">
            <v>7765A520XA</v>
          </cell>
          <cell r="E13" t="str">
            <v>Part 12 for Fortuner</v>
          </cell>
        </row>
        <row r="14">
          <cell r="D14" t="str">
            <v>MSB63969</v>
          </cell>
          <cell r="E14" t="str">
            <v>Part 13 for Triton</v>
          </cell>
        </row>
        <row r="15">
          <cell r="D15" t="str">
            <v>MSB23586</v>
          </cell>
          <cell r="E15" t="str">
            <v>Part 14 for Xpander</v>
          </cell>
        </row>
        <row r="16">
          <cell r="D16" t="str">
            <v>MSB18362</v>
          </cell>
          <cell r="E16" t="str">
            <v>Part 15 for Pajero Sport</v>
          </cell>
        </row>
        <row r="17">
          <cell r="D17" t="str">
            <v>DHT67021</v>
          </cell>
          <cell r="E17" t="str">
            <v>Part 16 for Xenia</v>
          </cell>
        </row>
        <row r="18">
          <cell r="D18" t="str">
            <v>DHT47974</v>
          </cell>
          <cell r="E18" t="str">
            <v>Part 17 for Terios</v>
          </cell>
        </row>
        <row r="19">
          <cell r="D19" t="str">
            <v>MSB97943</v>
          </cell>
          <cell r="E19" t="str">
            <v>Part 18 for Xpander</v>
          </cell>
        </row>
        <row r="20">
          <cell r="D20" t="str">
            <v>7084A592XA</v>
          </cell>
          <cell r="E20" t="str">
            <v>Part 19 for Rush</v>
          </cell>
        </row>
        <row r="21">
          <cell r="D21" t="str">
            <v>7487A213XA</v>
          </cell>
          <cell r="E21" t="str">
            <v>Part 20 for Rush</v>
          </cell>
        </row>
        <row r="22">
          <cell r="D22" t="str">
            <v>MSB63925</v>
          </cell>
          <cell r="E22" t="str">
            <v>Part 21 for Xpander</v>
          </cell>
        </row>
        <row r="23">
          <cell r="D23" t="str">
            <v>MSB90396</v>
          </cell>
          <cell r="E23" t="str">
            <v>Part 22 for Pajero Sport</v>
          </cell>
        </row>
        <row r="24">
          <cell r="D24" t="str">
            <v>DHT83559</v>
          </cell>
          <cell r="E24" t="str">
            <v>Part 23 for Xenia</v>
          </cell>
        </row>
        <row r="25">
          <cell r="D25" t="str">
            <v>7968A753XA</v>
          </cell>
          <cell r="E25" t="str">
            <v>Part 24 for Yaris</v>
          </cell>
        </row>
        <row r="26">
          <cell r="D26" t="str">
            <v>MSB10447</v>
          </cell>
          <cell r="E26" t="str">
            <v>Part 25 for Triton</v>
          </cell>
        </row>
        <row r="27">
          <cell r="D27" t="str">
            <v>DHT74919</v>
          </cell>
          <cell r="E27" t="str">
            <v>Part 26 for Ayla</v>
          </cell>
        </row>
        <row r="28">
          <cell r="D28" t="str">
            <v>MSB46083</v>
          </cell>
          <cell r="E28" t="str">
            <v>Part 27 for Xpander</v>
          </cell>
        </row>
        <row r="29">
          <cell r="D29" t="str">
            <v>7003A576XA</v>
          </cell>
          <cell r="E29" t="str">
            <v>Part 28 for Yaris</v>
          </cell>
        </row>
        <row r="30">
          <cell r="D30" t="str">
            <v>MSB24809</v>
          </cell>
          <cell r="E30" t="str">
            <v>Part 29 for Pajero Sport</v>
          </cell>
        </row>
        <row r="31">
          <cell r="D31" t="str">
            <v>DHT87790</v>
          </cell>
          <cell r="E31" t="str">
            <v>Part 30 for Xenia</v>
          </cell>
        </row>
        <row r="32">
          <cell r="D32" t="str">
            <v>DHT84638</v>
          </cell>
          <cell r="E32" t="str">
            <v>Part 31 for Xenia</v>
          </cell>
        </row>
        <row r="33">
          <cell r="D33" t="str">
            <v>7562A703XA</v>
          </cell>
          <cell r="E33" t="str">
            <v>Part 32 for Avanza</v>
          </cell>
        </row>
        <row r="34">
          <cell r="D34" t="str">
            <v>DHT38078</v>
          </cell>
          <cell r="E34" t="str">
            <v>Part 33 for Sigra</v>
          </cell>
        </row>
        <row r="35">
          <cell r="D35" t="str">
            <v>7995A940XA</v>
          </cell>
          <cell r="E35" t="str">
            <v>Part 34 for Rush</v>
          </cell>
        </row>
        <row r="36">
          <cell r="D36" t="str">
            <v>MSB59526</v>
          </cell>
          <cell r="E36" t="str">
            <v>Part 35 for Xpander</v>
          </cell>
        </row>
        <row r="37">
          <cell r="D37" t="str">
            <v>7552A302XA</v>
          </cell>
          <cell r="E37" t="str">
            <v>Part 36 for Avanza</v>
          </cell>
        </row>
        <row r="38">
          <cell r="D38" t="str">
            <v>DHT21010</v>
          </cell>
          <cell r="E38" t="str">
            <v>Part 37 for Xenia</v>
          </cell>
        </row>
        <row r="39">
          <cell r="D39" t="str">
            <v>DHT24377</v>
          </cell>
          <cell r="E39" t="str">
            <v>Part 38 for Xenia</v>
          </cell>
        </row>
        <row r="40">
          <cell r="D40" t="str">
            <v>7176A205XA</v>
          </cell>
          <cell r="E40" t="str">
            <v>Part 39 for Rush</v>
          </cell>
        </row>
        <row r="41">
          <cell r="D41" t="str">
            <v>7016A525XA</v>
          </cell>
          <cell r="E41" t="str">
            <v>Part 40 for Rush</v>
          </cell>
        </row>
        <row r="42">
          <cell r="D42" t="str">
            <v>DHT22126</v>
          </cell>
          <cell r="E42" t="str">
            <v>Part 41 for Sigra</v>
          </cell>
        </row>
        <row r="43">
          <cell r="D43" t="str">
            <v>7600A819XA</v>
          </cell>
          <cell r="E43" t="str">
            <v>Part 42 for Rush</v>
          </cell>
        </row>
        <row r="44">
          <cell r="D44" t="str">
            <v>DHT85196</v>
          </cell>
          <cell r="E44" t="str">
            <v>Part 43 for Terios</v>
          </cell>
        </row>
        <row r="45">
          <cell r="D45" t="str">
            <v>DHT87314</v>
          </cell>
          <cell r="E45" t="str">
            <v>Part 44 for Terios</v>
          </cell>
        </row>
        <row r="46">
          <cell r="D46" t="str">
            <v>MSB72479</v>
          </cell>
          <cell r="E46" t="str">
            <v>Part 45 for Triton</v>
          </cell>
        </row>
        <row r="47">
          <cell r="D47" t="str">
            <v>DHT97594</v>
          </cell>
          <cell r="E47" t="str">
            <v>Part 46 for Terios</v>
          </cell>
        </row>
        <row r="48">
          <cell r="D48" t="str">
            <v>7146A722XA</v>
          </cell>
          <cell r="E48" t="str">
            <v>Part 47 for Yaris</v>
          </cell>
        </row>
        <row r="49">
          <cell r="D49" t="str">
            <v>DHT60629</v>
          </cell>
          <cell r="E49" t="str">
            <v>Part 48 for Xenia</v>
          </cell>
        </row>
        <row r="50">
          <cell r="D50" t="str">
            <v>7918A363XA</v>
          </cell>
          <cell r="E50" t="str">
            <v>Part 49 for Fortuner</v>
          </cell>
        </row>
        <row r="51">
          <cell r="D51" t="str">
            <v>7794A405XA</v>
          </cell>
          <cell r="E51" t="str">
            <v>Part 50 for Fortuner</v>
          </cell>
        </row>
        <row r="52">
          <cell r="D52" t="str">
            <v>DHT49514</v>
          </cell>
          <cell r="E52" t="str">
            <v>Part 51 for Terios</v>
          </cell>
        </row>
        <row r="53">
          <cell r="D53" t="str">
            <v>DHT11133</v>
          </cell>
          <cell r="E53" t="str">
            <v>Part 52 for Sigra</v>
          </cell>
        </row>
        <row r="54">
          <cell r="D54" t="str">
            <v>MSB50494</v>
          </cell>
          <cell r="E54" t="str">
            <v>Part 53 for Triton</v>
          </cell>
        </row>
        <row r="55">
          <cell r="D55" t="str">
            <v>MSB45679</v>
          </cell>
          <cell r="E55" t="str">
            <v>Part 54 for Xpander</v>
          </cell>
        </row>
        <row r="56">
          <cell r="D56" t="str">
            <v>MSB53738</v>
          </cell>
          <cell r="E56" t="str">
            <v>Part 55 for Pajero Sport</v>
          </cell>
        </row>
        <row r="57">
          <cell r="D57" t="str">
            <v>MSB83379</v>
          </cell>
          <cell r="E57" t="str">
            <v>Part 56 for Pajero Sport</v>
          </cell>
        </row>
        <row r="58">
          <cell r="D58" t="str">
            <v>7399A603XA</v>
          </cell>
          <cell r="E58" t="str">
            <v>Part 57 for Rush</v>
          </cell>
        </row>
        <row r="59">
          <cell r="D59" t="str">
            <v>MSB41956</v>
          </cell>
          <cell r="E59" t="str">
            <v>Part 58 for Xpander</v>
          </cell>
        </row>
        <row r="60">
          <cell r="D60" t="str">
            <v>DHT63648</v>
          </cell>
          <cell r="E60" t="str">
            <v>Part 59 for Terios</v>
          </cell>
        </row>
        <row r="61">
          <cell r="D61" t="str">
            <v>7895A184XA</v>
          </cell>
          <cell r="E61" t="str">
            <v>Part 60 for Rush</v>
          </cell>
        </row>
        <row r="62">
          <cell r="D62" t="str">
            <v>DHT54655</v>
          </cell>
          <cell r="E62" t="str">
            <v>Part 61 for Xenia</v>
          </cell>
        </row>
        <row r="63">
          <cell r="D63" t="str">
            <v>DHT20306</v>
          </cell>
          <cell r="E63" t="str">
            <v>Part 62 for Sigra</v>
          </cell>
        </row>
        <row r="64">
          <cell r="D64" t="str">
            <v>MSB55992</v>
          </cell>
          <cell r="E64" t="str">
            <v>Part 63 for Pajero Sport</v>
          </cell>
        </row>
        <row r="65">
          <cell r="D65" t="str">
            <v>MSB58539</v>
          </cell>
          <cell r="E65" t="str">
            <v>Part 64 for Xpander</v>
          </cell>
        </row>
        <row r="66">
          <cell r="D66" t="str">
            <v>7789A705XA</v>
          </cell>
          <cell r="E66" t="str">
            <v>Part 65 for Vios</v>
          </cell>
        </row>
        <row r="67">
          <cell r="D67" t="str">
            <v>7721A660XA</v>
          </cell>
          <cell r="E67" t="str">
            <v>Part 66 for Fortuner</v>
          </cell>
        </row>
        <row r="68">
          <cell r="D68" t="str">
            <v>DHT66572</v>
          </cell>
          <cell r="E68" t="str">
            <v>Part 67 for Sigra</v>
          </cell>
        </row>
        <row r="69">
          <cell r="D69" t="str">
            <v>7493A601XA</v>
          </cell>
          <cell r="E69" t="str">
            <v>Part 68 for Yaris</v>
          </cell>
        </row>
        <row r="70">
          <cell r="D70" t="str">
            <v>7694A928XA</v>
          </cell>
          <cell r="E70" t="str">
            <v>Part 69 for Vios</v>
          </cell>
        </row>
        <row r="71">
          <cell r="D71" t="str">
            <v>DHT27324</v>
          </cell>
          <cell r="E71" t="str">
            <v>Part 70 for Terios</v>
          </cell>
        </row>
        <row r="72">
          <cell r="D72" t="str">
            <v>DHT40032</v>
          </cell>
          <cell r="E72" t="str">
            <v>Part 71 for Xenia</v>
          </cell>
        </row>
        <row r="73">
          <cell r="D73" t="str">
            <v>7952A378XA</v>
          </cell>
          <cell r="E73" t="str">
            <v>Part 72 for Avanza</v>
          </cell>
        </row>
        <row r="74">
          <cell r="D74" t="str">
            <v>DHT87721</v>
          </cell>
          <cell r="E74" t="str">
            <v>Part 73 for Sigra</v>
          </cell>
        </row>
        <row r="75">
          <cell r="D75" t="str">
            <v>7408A274XA</v>
          </cell>
          <cell r="E75" t="str">
            <v>Part 74 for Rush</v>
          </cell>
        </row>
        <row r="76">
          <cell r="D76" t="str">
            <v>DHT64210</v>
          </cell>
          <cell r="E76" t="str">
            <v>Part 75 for Terios</v>
          </cell>
        </row>
        <row r="77">
          <cell r="D77" t="str">
            <v>7500A635XA</v>
          </cell>
          <cell r="E77" t="str">
            <v>Part 76 for Fortuner</v>
          </cell>
        </row>
        <row r="78">
          <cell r="D78" t="str">
            <v>MSB85485</v>
          </cell>
          <cell r="E78" t="str">
            <v>Part 77 for Pajero Sport</v>
          </cell>
        </row>
        <row r="79">
          <cell r="D79" t="str">
            <v>DHT42501</v>
          </cell>
          <cell r="E79" t="str">
            <v>Part 78 for Ayla</v>
          </cell>
        </row>
        <row r="80">
          <cell r="D80" t="str">
            <v>DHT24148</v>
          </cell>
          <cell r="E80" t="str">
            <v>Part 79 for Xenia</v>
          </cell>
        </row>
        <row r="81">
          <cell r="D81" t="str">
            <v>7515A170XA</v>
          </cell>
          <cell r="E81" t="str">
            <v>Part 80 for Avanza</v>
          </cell>
        </row>
        <row r="82">
          <cell r="D82" t="str">
            <v>MSB59390</v>
          </cell>
          <cell r="E82" t="str">
            <v>Part 81 for Pajero Sport</v>
          </cell>
        </row>
        <row r="83">
          <cell r="D83" t="str">
            <v>DHT75375</v>
          </cell>
          <cell r="E83" t="str">
            <v>Part 82 for Terios</v>
          </cell>
        </row>
        <row r="84">
          <cell r="D84" t="str">
            <v>DHT69645</v>
          </cell>
          <cell r="E84" t="str">
            <v>Part 83 for Xenia</v>
          </cell>
        </row>
        <row r="85">
          <cell r="D85" t="str">
            <v>DHT75721</v>
          </cell>
          <cell r="E85" t="str">
            <v>Part 84 for Terios</v>
          </cell>
        </row>
        <row r="86">
          <cell r="D86" t="str">
            <v>7513A822XA</v>
          </cell>
          <cell r="E86" t="str">
            <v>Part 85 for Avanza</v>
          </cell>
        </row>
        <row r="87">
          <cell r="D87" t="str">
            <v>DHT53637</v>
          </cell>
          <cell r="E87" t="str">
            <v>Part 86 for Sigra</v>
          </cell>
        </row>
        <row r="88">
          <cell r="D88" t="str">
            <v>DHT53060</v>
          </cell>
          <cell r="E88" t="str">
            <v>Part 87 for Xenia</v>
          </cell>
        </row>
        <row r="89">
          <cell r="D89" t="str">
            <v>DHT77381</v>
          </cell>
          <cell r="E89" t="str">
            <v>Part 88 for Sigra</v>
          </cell>
        </row>
        <row r="90">
          <cell r="D90" t="str">
            <v>DHT50064</v>
          </cell>
          <cell r="E90" t="str">
            <v>Part 89 for Ayla</v>
          </cell>
        </row>
        <row r="91">
          <cell r="D91" t="str">
            <v>MSB32337</v>
          </cell>
          <cell r="E91" t="str">
            <v>Part 90 for Pajero Sport</v>
          </cell>
        </row>
        <row r="92">
          <cell r="D92" t="str">
            <v>7418A733XA</v>
          </cell>
          <cell r="E92" t="str">
            <v>Part 91 for Yaris</v>
          </cell>
        </row>
        <row r="93">
          <cell r="D93" t="str">
            <v>DHT18298</v>
          </cell>
          <cell r="E93" t="str">
            <v>Part 92 for Xenia</v>
          </cell>
        </row>
        <row r="94">
          <cell r="D94" t="str">
            <v>7371A237XA</v>
          </cell>
          <cell r="E94" t="str">
            <v>Part 93 for Vios</v>
          </cell>
        </row>
        <row r="95">
          <cell r="D95" t="str">
            <v>DHT50872</v>
          </cell>
          <cell r="E95" t="str">
            <v>Part 94 for Ayla</v>
          </cell>
        </row>
        <row r="96">
          <cell r="D96" t="str">
            <v>7653A996XA</v>
          </cell>
          <cell r="E96" t="str">
            <v>Part 95 for Rush</v>
          </cell>
        </row>
        <row r="97">
          <cell r="D97" t="str">
            <v>MSB92051</v>
          </cell>
          <cell r="E97" t="str">
            <v>Part 96 for Xpander</v>
          </cell>
        </row>
        <row r="98">
          <cell r="D98" t="str">
            <v>DHT17861</v>
          </cell>
          <cell r="E98" t="str">
            <v>Part 97 for Xenia</v>
          </cell>
        </row>
        <row r="99">
          <cell r="D99" t="str">
            <v>7058A756XA</v>
          </cell>
          <cell r="E99" t="str">
            <v>Part 98 for Avanza</v>
          </cell>
        </row>
        <row r="100">
          <cell r="D100" t="str">
            <v>7033A134XA</v>
          </cell>
          <cell r="E100" t="str">
            <v>Part 99 for Vios</v>
          </cell>
        </row>
        <row r="101">
          <cell r="D101" t="str">
            <v>DHT63635</v>
          </cell>
          <cell r="E101" t="str">
            <v>Part 100 for Xenia</v>
          </cell>
        </row>
        <row r="102">
          <cell r="D102" t="str">
            <v>MSB34622</v>
          </cell>
          <cell r="E102" t="str">
            <v>Part 101 for Triton</v>
          </cell>
        </row>
        <row r="103">
          <cell r="D103" t="str">
            <v>DHT39619</v>
          </cell>
          <cell r="E103" t="str">
            <v>Part 102 for Xenia</v>
          </cell>
        </row>
        <row r="104">
          <cell r="D104" t="str">
            <v>MSB14887</v>
          </cell>
          <cell r="E104" t="str">
            <v>Part 103 for Pajero Sport</v>
          </cell>
        </row>
        <row r="105">
          <cell r="D105" t="str">
            <v>7376A323XA</v>
          </cell>
          <cell r="E105" t="str">
            <v>Part 104 for Yaris</v>
          </cell>
        </row>
        <row r="106">
          <cell r="D106" t="str">
            <v>7933A272XA</v>
          </cell>
          <cell r="E106" t="str">
            <v>Part 105 for Rush</v>
          </cell>
        </row>
        <row r="107">
          <cell r="D107" t="str">
            <v>7134A156XA</v>
          </cell>
          <cell r="E107" t="str">
            <v>Part 106 for Avanza</v>
          </cell>
        </row>
        <row r="108">
          <cell r="D108" t="str">
            <v>MSB59138</v>
          </cell>
          <cell r="E108" t="str">
            <v>Part 107 for Pajero Sport</v>
          </cell>
        </row>
        <row r="109">
          <cell r="D109" t="str">
            <v>7351A466XA</v>
          </cell>
          <cell r="E109" t="str">
            <v>Part 108 for Vios</v>
          </cell>
        </row>
        <row r="110">
          <cell r="D110" t="str">
            <v>MSB57705</v>
          </cell>
          <cell r="E110" t="str">
            <v>Part 109 for Xpander</v>
          </cell>
        </row>
        <row r="111">
          <cell r="D111" t="str">
            <v>7153A932XA</v>
          </cell>
          <cell r="E111" t="str">
            <v>Part 110 for Rush</v>
          </cell>
        </row>
        <row r="112">
          <cell r="D112" t="str">
            <v>DHT21483</v>
          </cell>
          <cell r="E112" t="str">
            <v>Part 111 for Xenia</v>
          </cell>
        </row>
        <row r="113">
          <cell r="D113" t="str">
            <v>DHT20542</v>
          </cell>
          <cell r="E113" t="str">
            <v>Part 112 for Sigra</v>
          </cell>
        </row>
        <row r="114">
          <cell r="D114" t="str">
            <v>MSB14279</v>
          </cell>
          <cell r="E114" t="str">
            <v>Part 113 for Triton</v>
          </cell>
        </row>
        <row r="115">
          <cell r="D115" t="str">
            <v>7390A976XA</v>
          </cell>
          <cell r="E115" t="str">
            <v>Part 114 for Fortuner</v>
          </cell>
        </row>
        <row r="116">
          <cell r="D116" t="str">
            <v>7517A642XA</v>
          </cell>
          <cell r="E116" t="str">
            <v>Part 115 for Fortuner</v>
          </cell>
        </row>
        <row r="117">
          <cell r="D117" t="str">
            <v>7437A976XA</v>
          </cell>
          <cell r="E117" t="str">
            <v>Part 116 for Avanza</v>
          </cell>
        </row>
        <row r="118">
          <cell r="D118" t="str">
            <v>7855A368XA</v>
          </cell>
          <cell r="E118" t="str">
            <v>Part 117 for Rush</v>
          </cell>
        </row>
        <row r="119">
          <cell r="D119" t="str">
            <v>DHT63698</v>
          </cell>
          <cell r="E119" t="str">
            <v>Part 118 for Xenia</v>
          </cell>
        </row>
        <row r="120">
          <cell r="D120" t="str">
            <v>DHT60292</v>
          </cell>
          <cell r="E120" t="str">
            <v>Part 119 for Sigra</v>
          </cell>
        </row>
        <row r="121">
          <cell r="D121" t="str">
            <v>7222A613XA</v>
          </cell>
          <cell r="E121" t="str">
            <v>Part 120 for Avanza</v>
          </cell>
        </row>
        <row r="122">
          <cell r="D122" t="str">
            <v>DHT13621</v>
          </cell>
          <cell r="E122" t="str">
            <v>Part 121 for Ayla</v>
          </cell>
        </row>
        <row r="123">
          <cell r="D123" t="str">
            <v>7203A579XA</v>
          </cell>
          <cell r="E123" t="str">
            <v>Part 122 for Fortuner</v>
          </cell>
        </row>
        <row r="124">
          <cell r="D124" t="str">
            <v>MSB13288</v>
          </cell>
          <cell r="E124" t="str">
            <v>Part 123 for Xpander</v>
          </cell>
        </row>
        <row r="125">
          <cell r="D125" t="str">
            <v>7738A858XA</v>
          </cell>
          <cell r="E125" t="str">
            <v>Part 124 for Rush</v>
          </cell>
        </row>
        <row r="126">
          <cell r="D126" t="str">
            <v>DHT99001</v>
          </cell>
          <cell r="E126" t="str">
            <v>Part 125 for Xenia</v>
          </cell>
        </row>
        <row r="127">
          <cell r="D127" t="str">
            <v>DHT88628</v>
          </cell>
          <cell r="E127" t="str">
            <v>Part 126 for Ayla</v>
          </cell>
        </row>
        <row r="128">
          <cell r="D128" t="str">
            <v>7233A747XA</v>
          </cell>
          <cell r="E128" t="str">
            <v>Part 127 for Fortuner</v>
          </cell>
        </row>
        <row r="129">
          <cell r="D129" t="str">
            <v>MSB75718</v>
          </cell>
          <cell r="E129" t="str">
            <v>Part 128 for Pajero Sport</v>
          </cell>
        </row>
        <row r="130">
          <cell r="D130" t="str">
            <v>DHT99305</v>
          </cell>
          <cell r="E130" t="str">
            <v>Part 129 for Xenia</v>
          </cell>
        </row>
        <row r="131">
          <cell r="D131" t="str">
            <v>7032A837XA</v>
          </cell>
          <cell r="E131" t="str">
            <v>Part 130 for Rush</v>
          </cell>
        </row>
        <row r="132">
          <cell r="D132" t="str">
            <v>DHT52932</v>
          </cell>
          <cell r="E132" t="str">
            <v>Part 131 for Sigra</v>
          </cell>
        </row>
        <row r="133">
          <cell r="D133" t="str">
            <v>7018A407XA</v>
          </cell>
          <cell r="E133" t="str">
            <v>Part 132 for Rush</v>
          </cell>
        </row>
        <row r="134">
          <cell r="D134" t="str">
            <v>MSB58531</v>
          </cell>
          <cell r="E134" t="str">
            <v>Part 133 for Xpander</v>
          </cell>
        </row>
        <row r="135">
          <cell r="D135" t="str">
            <v>7658A399XA</v>
          </cell>
          <cell r="E135" t="str">
            <v>Part 134 for Avanza</v>
          </cell>
        </row>
        <row r="136">
          <cell r="D136" t="str">
            <v>7487A129XA</v>
          </cell>
          <cell r="E136" t="str">
            <v>Part 135 for Vios</v>
          </cell>
        </row>
        <row r="137">
          <cell r="D137" t="str">
            <v>MSB35521</v>
          </cell>
          <cell r="E137" t="str">
            <v>Part 136 for Triton</v>
          </cell>
        </row>
        <row r="138">
          <cell r="D138" t="str">
            <v>DHT84867</v>
          </cell>
          <cell r="E138" t="str">
            <v>Part 137 for Sigra</v>
          </cell>
        </row>
        <row r="139">
          <cell r="D139" t="str">
            <v>MSB55681</v>
          </cell>
          <cell r="E139" t="str">
            <v>Part 138 for Triton</v>
          </cell>
        </row>
        <row r="140">
          <cell r="D140" t="str">
            <v>DHT49988</v>
          </cell>
          <cell r="E140" t="str">
            <v>Part 139 for Ayla</v>
          </cell>
        </row>
        <row r="141">
          <cell r="D141" t="str">
            <v>MSB73035</v>
          </cell>
          <cell r="E141" t="str">
            <v>Part 140 for Xpander</v>
          </cell>
        </row>
        <row r="142">
          <cell r="D142" t="str">
            <v>7927A898XA</v>
          </cell>
          <cell r="E142" t="str">
            <v>Part 141 for Fortuner</v>
          </cell>
        </row>
        <row r="143">
          <cell r="D143" t="str">
            <v>MSB32562</v>
          </cell>
          <cell r="E143" t="str">
            <v>Part 142 for Pajero Sport</v>
          </cell>
        </row>
        <row r="144">
          <cell r="D144" t="str">
            <v>MSB60714</v>
          </cell>
          <cell r="E144" t="str">
            <v>Part 143 for Triton</v>
          </cell>
        </row>
        <row r="145">
          <cell r="D145" t="str">
            <v>MSB21818</v>
          </cell>
          <cell r="E145" t="str">
            <v>Part 144 for Pajero Sport</v>
          </cell>
        </row>
        <row r="146">
          <cell r="D146" t="str">
            <v>DHT11990</v>
          </cell>
          <cell r="E146" t="str">
            <v>Part 145 for Sigra</v>
          </cell>
        </row>
        <row r="147">
          <cell r="D147" t="str">
            <v>DHT43024</v>
          </cell>
          <cell r="E147" t="str">
            <v>Part 146 for Xenia</v>
          </cell>
        </row>
        <row r="148">
          <cell r="D148" t="str">
            <v>DHT20303</v>
          </cell>
          <cell r="E148" t="str">
            <v>Part 147 for Xenia</v>
          </cell>
        </row>
        <row r="149">
          <cell r="D149" t="str">
            <v>7865A305XA</v>
          </cell>
          <cell r="E149" t="str">
            <v>Part 148 for Avanza</v>
          </cell>
        </row>
        <row r="150">
          <cell r="D150" t="str">
            <v>MSB41459</v>
          </cell>
          <cell r="E150" t="str">
            <v>Part 149 for Pajero Sport</v>
          </cell>
        </row>
        <row r="151">
          <cell r="D151" t="str">
            <v>MSB44793</v>
          </cell>
          <cell r="E151" t="str">
            <v>Part 150 for Triton</v>
          </cell>
        </row>
        <row r="152">
          <cell r="D152" t="str">
            <v>DHT75327</v>
          </cell>
          <cell r="E152" t="str">
            <v>Part 151 for Sigra</v>
          </cell>
        </row>
        <row r="153">
          <cell r="D153" t="str">
            <v>DHT50158</v>
          </cell>
          <cell r="E153" t="str">
            <v>Part 152 for Sigra</v>
          </cell>
        </row>
        <row r="154">
          <cell r="D154" t="str">
            <v>MSB41882</v>
          </cell>
          <cell r="E154" t="str">
            <v>Part 153 for Pajero Sport</v>
          </cell>
        </row>
        <row r="155">
          <cell r="D155" t="str">
            <v>7525A580XA</v>
          </cell>
          <cell r="E155" t="str">
            <v>Part 154 for Avanza</v>
          </cell>
        </row>
        <row r="156">
          <cell r="D156" t="str">
            <v>DHT82586</v>
          </cell>
          <cell r="E156" t="str">
            <v>Part 155 for Terios</v>
          </cell>
        </row>
        <row r="157">
          <cell r="D157" t="str">
            <v>7648A794XA</v>
          </cell>
          <cell r="E157" t="str">
            <v>Part 156 for Vios</v>
          </cell>
        </row>
        <row r="158">
          <cell r="D158" t="str">
            <v>MSB59903</v>
          </cell>
          <cell r="E158" t="str">
            <v>Part 157 for Pajero Sport</v>
          </cell>
        </row>
        <row r="159">
          <cell r="D159" t="str">
            <v>7676A670XA</v>
          </cell>
          <cell r="E159" t="str">
            <v>Part 158 for Rush</v>
          </cell>
        </row>
        <row r="160">
          <cell r="D160" t="str">
            <v>7090A706XA</v>
          </cell>
          <cell r="E160" t="str">
            <v>Part 159 for Fortuner</v>
          </cell>
        </row>
        <row r="161">
          <cell r="D161" t="str">
            <v>MSB43195</v>
          </cell>
          <cell r="E161" t="str">
            <v>Part 160 for Triton</v>
          </cell>
        </row>
        <row r="162">
          <cell r="D162" t="str">
            <v>7522A195XA</v>
          </cell>
          <cell r="E162" t="str">
            <v>Part 161 for Yaris</v>
          </cell>
        </row>
        <row r="163">
          <cell r="D163" t="str">
            <v>MSB81583</v>
          </cell>
          <cell r="E163" t="str">
            <v>Part 162 for Pajero Sport</v>
          </cell>
        </row>
        <row r="164">
          <cell r="D164" t="str">
            <v>DHT77408</v>
          </cell>
          <cell r="E164" t="str">
            <v>Part 163 for Ayla</v>
          </cell>
        </row>
        <row r="165">
          <cell r="D165" t="str">
            <v>MSB88274</v>
          </cell>
          <cell r="E165" t="str">
            <v>Part 164 for Triton</v>
          </cell>
        </row>
        <row r="166">
          <cell r="D166" t="str">
            <v>MSB26185</v>
          </cell>
          <cell r="E166" t="str">
            <v>Part 165 for Triton</v>
          </cell>
        </row>
        <row r="167">
          <cell r="D167" t="str">
            <v>DHT82334</v>
          </cell>
          <cell r="E167" t="str">
            <v>Part 166 for Ayla</v>
          </cell>
        </row>
        <row r="168">
          <cell r="D168" t="str">
            <v>7414A258XA</v>
          </cell>
          <cell r="E168" t="str">
            <v>Part 167 for Rush</v>
          </cell>
        </row>
        <row r="169">
          <cell r="D169" t="str">
            <v>MSB77760</v>
          </cell>
          <cell r="E169" t="str">
            <v>Part 168 for Pajero Sport</v>
          </cell>
        </row>
        <row r="170">
          <cell r="D170" t="str">
            <v>MSB40526</v>
          </cell>
          <cell r="E170" t="str">
            <v>Part 169 for Xpander</v>
          </cell>
        </row>
        <row r="171">
          <cell r="D171" t="str">
            <v>MSB14995</v>
          </cell>
          <cell r="E171" t="str">
            <v>Part 170 for Pajero Sport</v>
          </cell>
        </row>
        <row r="172">
          <cell r="D172" t="str">
            <v>7100A698XA</v>
          </cell>
          <cell r="E172" t="str">
            <v>Part 171 for Rush</v>
          </cell>
        </row>
        <row r="173">
          <cell r="D173" t="str">
            <v>7600A349XA</v>
          </cell>
          <cell r="E173" t="str">
            <v>Part 172 for Yaris</v>
          </cell>
        </row>
        <row r="174">
          <cell r="D174" t="str">
            <v>MSB81709</v>
          </cell>
          <cell r="E174" t="str">
            <v>Part 173 for Xpander</v>
          </cell>
        </row>
        <row r="175">
          <cell r="D175" t="str">
            <v>7525A179XA</v>
          </cell>
          <cell r="E175" t="str">
            <v>Part 174 for Fortuner</v>
          </cell>
        </row>
        <row r="176">
          <cell r="D176" t="str">
            <v>DHT12291</v>
          </cell>
          <cell r="E176" t="str">
            <v>Part 175 for Xenia</v>
          </cell>
        </row>
        <row r="177">
          <cell r="D177" t="str">
            <v>DHT88528</v>
          </cell>
          <cell r="E177" t="str">
            <v>Part 176 for Xenia</v>
          </cell>
        </row>
        <row r="178">
          <cell r="D178" t="str">
            <v>MSB71109</v>
          </cell>
          <cell r="E178" t="str">
            <v>Part 177 for Triton</v>
          </cell>
        </row>
        <row r="179">
          <cell r="D179" t="str">
            <v>7406A931XA</v>
          </cell>
          <cell r="E179" t="str">
            <v>Part 178 for Yaris</v>
          </cell>
        </row>
        <row r="180">
          <cell r="D180" t="str">
            <v>DHT97502</v>
          </cell>
          <cell r="E180" t="str">
            <v>Part 179 for Xenia</v>
          </cell>
        </row>
        <row r="181">
          <cell r="D181" t="str">
            <v>DHT50776</v>
          </cell>
          <cell r="E181" t="str">
            <v>Part 180 for Xenia</v>
          </cell>
        </row>
        <row r="182">
          <cell r="D182" t="str">
            <v>MSB60745</v>
          </cell>
          <cell r="E182" t="str">
            <v>Part 181 for Triton</v>
          </cell>
        </row>
        <row r="183">
          <cell r="D183" t="str">
            <v>7412A104XA</v>
          </cell>
          <cell r="E183" t="str">
            <v>Part 182 for Rush</v>
          </cell>
        </row>
        <row r="184">
          <cell r="D184" t="str">
            <v>MSB71641</v>
          </cell>
          <cell r="E184" t="str">
            <v>Part 183 for Pajero Sport</v>
          </cell>
        </row>
        <row r="185">
          <cell r="D185" t="str">
            <v>MSB64090</v>
          </cell>
          <cell r="E185" t="str">
            <v>Part 184 for Xpander</v>
          </cell>
        </row>
        <row r="186">
          <cell r="D186" t="str">
            <v>DHT98452</v>
          </cell>
          <cell r="E186" t="str">
            <v>Part 185 for Terios</v>
          </cell>
        </row>
        <row r="187">
          <cell r="D187" t="str">
            <v>DHT52219</v>
          </cell>
          <cell r="E187" t="str">
            <v>Part 186 for Ayla</v>
          </cell>
        </row>
        <row r="188">
          <cell r="D188" t="str">
            <v>DHT28026</v>
          </cell>
          <cell r="E188" t="str">
            <v>Part 187 for Terios</v>
          </cell>
        </row>
        <row r="189">
          <cell r="D189" t="str">
            <v>DHT11111</v>
          </cell>
          <cell r="E189" t="str">
            <v>Part 188 for Ayla</v>
          </cell>
        </row>
        <row r="190">
          <cell r="D190" t="str">
            <v>MSB77762</v>
          </cell>
          <cell r="E190" t="str">
            <v>Part 189 for Xpander</v>
          </cell>
        </row>
        <row r="191">
          <cell r="D191" t="str">
            <v>MSB66813</v>
          </cell>
          <cell r="E191" t="str">
            <v>Part 190 for Pajero Sport</v>
          </cell>
        </row>
        <row r="192">
          <cell r="D192" t="str">
            <v>MSB50616</v>
          </cell>
          <cell r="E192" t="str">
            <v>Part 191 for Triton</v>
          </cell>
        </row>
        <row r="193">
          <cell r="D193" t="str">
            <v>MSB56959</v>
          </cell>
          <cell r="E193" t="str">
            <v>Part 192 for Pajero Sport</v>
          </cell>
        </row>
        <row r="194">
          <cell r="D194" t="str">
            <v>DHT46980</v>
          </cell>
          <cell r="E194" t="str">
            <v>Part 193 for Sigra</v>
          </cell>
        </row>
        <row r="195">
          <cell r="D195" t="str">
            <v>MSB22692</v>
          </cell>
          <cell r="E195" t="str">
            <v>Part 194 for Pajero Sport</v>
          </cell>
        </row>
        <row r="196">
          <cell r="D196" t="str">
            <v>7758A548XA</v>
          </cell>
          <cell r="E196" t="str">
            <v>Part 195 for Avanza</v>
          </cell>
        </row>
        <row r="197">
          <cell r="D197" t="str">
            <v>7011A168XA</v>
          </cell>
          <cell r="E197" t="str">
            <v>Part 196 for Vios</v>
          </cell>
        </row>
        <row r="198">
          <cell r="D198" t="str">
            <v>MSB90947</v>
          </cell>
          <cell r="E198" t="str">
            <v>Part 197 for Xpander</v>
          </cell>
        </row>
        <row r="199">
          <cell r="D199" t="str">
            <v>DHT43952</v>
          </cell>
          <cell r="E199" t="str">
            <v>Part 198 for Sigra</v>
          </cell>
        </row>
        <row r="200">
          <cell r="D200" t="str">
            <v>MSB93030</v>
          </cell>
          <cell r="E200" t="str">
            <v>Part 199 for Triton</v>
          </cell>
        </row>
        <row r="201">
          <cell r="D201" t="str">
            <v>DHT94106</v>
          </cell>
          <cell r="E201" t="str">
            <v>Part 200 for Sigra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1"/>
  <sheetViews>
    <sheetView tabSelected="1" zoomScaleNormal="100" workbookViewId="0">
      <selection activeCell="Y16" sqref="Y16"/>
    </sheetView>
  </sheetViews>
  <sheetFormatPr defaultRowHeight="14.4" x14ac:dyDescent="0.3"/>
  <cols>
    <col min="1" max="1" width="21.44140625" bestFit="1" customWidth="1"/>
    <col min="2" max="2" width="11.21875" bestFit="1" customWidth="1"/>
    <col min="3" max="33" width="4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tr">
        <f>INDEX([1]Sheet1!$E:$E,MATCH(B2,[1]Sheet1!$D:$D,0))</f>
        <v>Part 116 for Avanza</v>
      </c>
      <c r="B2" t="s">
        <v>33</v>
      </c>
      <c r="C2">
        <v>58</v>
      </c>
      <c r="D2">
        <v>91</v>
      </c>
      <c r="E2">
        <v>81</v>
      </c>
      <c r="F2">
        <v>69</v>
      </c>
      <c r="G2">
        <v>79</v>
      </c>
      <c r="H2">
        <v>75</v>
      </c>
      <c r="I2">
        <v>99</v>
      </c>
      <c r="J2">
        <v>81</v>
      </c>
      <c r="K2">
        <v>72</v>
      </c>
      <c r="L2">
        <v>111</v>
      </c>
      <c r="M2">
        <v>110</v>
      </c>
      <c r="N2">
        <v>117</v>
      </c>
      <c r="O2">
        <v>80</v>
      </c>
      <c r="P2">
        <v>75</v>
      </c>
      <c r="Q2">
        <v>100</v>
      </c>
      <c r="R2">
        <v>93</v>
      </c>
      <c r="S2">
        <v>75</v>
      </c>
      <c r="T2">
        <v>110</v>
      </c>
      <c r="U2">
        <v>92</v>
      </c>
      <c r="V2">
        <v>81</v>
      </c>
      <c r="W2">
        <v>105</v>
      </c>
      <c r="X2">
        <v>85</v>
      </c>
      <c r="Y2">
        <v>95</v>
      </c>
      <c r="Z2">
        <v>92</v>
      </c>
      <c r="AA2">
        <v>107</v>
      </c>
      <c r="AB2">
        <v>53</v>
      </c>
      <c r="AC2">
        <v>59</v>
      </c>
      <c r="AD2">
        <v>84</v>
      </c>
      <c r="AE2">
        <v>108</v>
      </c>
      <c r="AF2">
        <v>107</v>
      </c>
      <c r="AG2">
        <v>75</v>
      </c>
    </row>
    <row r="3" spans="1:33" x14ac:dyDescent="0.3">
      <c r="A3" t="str">
        <f>INDEX([1]Sheet1!$E:$E,MATCH(B3,[1]Sheet1!$D:$D,0))</f>
        <v>Part 115 for Fortuner</v>
      </c>
      <c r="B3" t="s">
        <v>34</v>
      </c>
      <c r="C3">
        <v>55</v>
      </c>
      <c r="D3">
        <v>74</v>
      </c>
      <c r="E3">
        <v>71</v>
      </c>
      <c r="F3">
        <v>82</v>
      </c>
      <c r="G3">
        <v>91</v>
      </c>
      <c r="H3">
        <v>84</v>
      </c>
      <c r="I3">
        <v>95</v>
      </c>
      <c r="J3">
        <v>100</v>
      </c>
      <c r="K3">
        <v>64</v>
      </c>
      <c r="L3">
        <v>95</v>
      </c>
      <c r="M3">
        <v>95</v>
      </c>
      <c r="N3">
        <v>63</v>
      </c>
      <c r="O3">
        <v>70</v>
      </c>
      <c r="P3">
        <v>86</v>
      </c>
      <c r="Q3">
        <v>59</v>
      </c>
      <c r="R3">
        <v>74</v>
      </c>
      <c r="S3">
        <v>65</v>
      </c>
      <c r="T3">
        <v>79</v>
      </c>
      <c r="U3">
        <v>72</v>
      </c>
      <c r="V3">
        <v>106</v>
      </c>
      <c r="W3">
        <v>50</v>
      </c>
      <c r="X3">
        <v>87</v>
      </c>
      <c r="Y3">
        <v>95</v>
      </c>
      <c r="Z3">
        <v>99</v>
      </c>
      <c r="AA3">
        <v>105</v>
      </c>
      <c r="AB3">
        <v>87</v>
      </c>
      <c r="AC3">
        <v>88</v>
      </c>
      <c r="AD3">
        <v>61</v>
      </c>
      <c r="AE3">
        <v>82</v>
      </c>
      <c r="AF3">
        <v>77</v>
      </c>
      <c r="AG3">
        <v>82</v>
      </c>
    </row>
    <row r="4" spans="1:33" x14ac:dyDescent="0.3">
      <c r="A4" t="str">
        <f>INDEX([1]Sheet1!$E:$E,MATCH(B4,[1]Sheet1!$D:$D,0))</f>
        <v>Part 63 for Pajero Sport</v>
      </c>
      <c r="B4" t="s">
        <v>35</v>
      </c>
      <c r="C4">
        <v>104</v>
      </c>
      <c r="D4">
        <v>105</v>
      </c>
      <c r="E4">
        <v>116</v>
      </c>
      <c r="F4">
        <v>116</v>
      </c>
      <c r="G4">
        <v>57</v>
      </c>
      <c r="H4">
        <v>113</v>
      </c>
      <c r="I4">
        <v>117</v>
      </c>
      <c r="J4">
        <v>90</v>
      </c>
      <c r="K4">
        <v>106</v>
      </c>
      <c r="L4">
        <v>108</v>
      </c>
      <c r="M4">
        <v>70</v>
      </c>
      <c r="N4">
        <v>111</v>
      </c>
      <c r="O4">
        <v>68</v>
      </c>
      <c r="P4">
        <v>100</v>
      </c>
      <c r="Q4">
        <v>98</v>
      </c>
      <c r="R4">
        <v>62</v>
      </c>
      <c r="S4">
        <v>106</v>
      </c>
      <c r="T4">
        <v>92</v>
      </c>
      <c r="U4">
        <v>106</v>
      </c>
      <c r="V4">
        <v>89</v>
      </c>
      <c r="W4">
        <v>87</v>
      </c>
      <c r="X4">
        <v>58</v>
      </c>
      <c r="Y4">
        <v>75</v>
      </c>
      <c r="Z4">
        <v>81</v>
      </c>
      <c r="AA4">
        <v>62</v>
      </c>
      <c r="AB4">
        <v>85</v>
      </c>
      <c r="AC4">
        <v>83</v>
      </c>
      <c r="AD4">
        <v>114</v>
      </c>
      <c r="AE4">
        <v>54</v>
      </c>
      <c r="AF4">
        <v>52</v>
      </c>
      <c r="AG4">
        <v>105</v>
      </c>
    </row>
    <row r="5" spans="1:33" x14ac:dyDescent="0.3">
      <c r="A5" t="str">
        <f>INDEX([1]Sheet1!$E:$E,MATCH(B5,[1]Sheet1!$D:$D,0))</f>
        <v>Part 169 for Xpander</v>
      </c>
      <c r="B5" t="s">
        <v>36</v>
      </c>
      <c r="C5">
        <v>70</v>
      </c>
      <c r="D5">
        <v>68</v>
      </c>
      <c r="E5">
        <v>70</v>
      </c>
      <c r="F5">
        <v>102</v>
      </c>
      <c r="G5">
        <v>70</v>
      </c>
      <c r="H5">
        <v>115</v>
      </c>
      <c r="I5">
        <v>65</v>
      </c>
      <c r="J5">
        <v>70</v>
      </c>
      <c r="K5">
        <v>117</v>
      </c>
      <c r="L5">
        <v>98</v>
      </c>
      <c r="M5">
        <v>65</v>
      </c>
      <c r="N5">
        <v>81</v>
      </c>
      <c r="O5">
        <v>87</v>
      </c>
      <c r="P5">
        <v>94</v>
      </c>
      <c r="Q5">
        <v>92</v>
      </c>
      <c r="R5">
        <v>113</v>
      </c>
      <c r="S5">
        <v>81</v>
      </c>
      <c r="T5">
        <v>64</v>
      </c>
      <c r="U5">
        <v>85</v>
      </c>
      <c r="V5">
        <v>78</v>
      </c>
      <c r="W5">
        <v>97</v>
      </c>
      <c r="X5">
        <v>64</v>
      </c>
      <c r="Y5">
        <v>118</v>
      </c>
      <c r="Z5">
        <v>79</v>
      </c>
      <c r="AA5">
        <v>62</v>
      </c>
      <c r="AB5">
        <v>99</v>
      </c>
      <c r="AC5">
        <v>69</v>
      </c>
      <c r="AD5">
        <v>91</v>
      </c>
      <c r="AE5">
        <v>64</v>
      </c>
      <c r="AF5">
        <v>70</v>
      </c>
      <c r="AG5">
        <v>115</v>
      </c>
    </row>
    <row r="6" spans="1:33" x14ac:dyDescent="0.3">
      <c r="A6" t="str">
        <f>INDEX([1]Sheet1!$E:$E,MATCH(B6,[1]Sheet1!$D:$D,0))</f>
        <v>Part 108 for Vios</v>
      </c>
      <c r="B6" t="s">
        <v>37</v>
      </c>
      <c r="C6">
        <v>88</v>
      </c>
      <c r="D6">
        <v>69</v>
      </c>
      <c r="E6">
        <v>118</v>
      </c>
      <c r="F6">
        <v>109</v>
      </c>
      <c r="G6">
        <v>111</v>
      </c>
      <c r="H6">
        <v>105</v>
      </c>
      <c r="I6">
        <v>73</v>
      </c>
      <c r="J6">
        <v>99</v>
      </c>
      <c r="K6">
        <v>85</v>
      </c>
      <c r="L6">
        <v>95</v>
      </c>
      <c r="M6">
        <v>103</v>
      </c>
      <c r="N6">
        <v>51</v>
      </c>
      <c r="O6">
        <v>85</v>
      </c>
      <c r="P6">
        <v>70</v>
      </c>
      <c r="Q6">
        <v>78</v>
      </c>
      <c r="R6">
        <v>52</v>
      </c>
      <c r="S6">
        <v>95</v>
      </c>
      <c r="T6">
        <v>80</v>
      </c>
      <c r="U6">
        <v>89</v>
      </c>
      <c r="V6">
        <v>115</v>
      </c>
      <c r="W6">
        <v>63</v>
      </c>
      <c r="X6">
        <v>117</v>
      </c>
      <c r="Y6">
        <v>74</v>
      </c>
      <c r="Z6">
        <v>75</v>
      </c>
      <c r="AA6">
        <v>95</v>
      </c>
      <c r="AB6">
        <v>90</v>
      </c>
      <c r="AC6">
        <v>113</v>
      </c>
      <c r="AD6">
        <v>63</v>
      </c>
      <c r="AE6">
        <v>115</v>
      </c>
      <c r="AF6">
        <v>79</v>
      </c>
      <c r="AG6">
        <v>95</v>
      </c>
    </row>
    <row r="7" spans="1:33" x14ac:dyDescent="0.3">
      <c r="A7" t="str">
        <f>INDEX([1]Sheet1!$E:$E,MATCH(B7,[1]Sheet1!$D:$D,0))</f>
        <v>Part 41 for Sigra</v>
      </c>
      <c r="B7" t="s">
        <v>38</v>
      </c>
      <c r="C7">
        <v>101</v>
      </c>
      <c r="D7">
        <v>77</v>
      </c>
      <c r="E7">
        <v>77</v>
      </c>
      <c r="F7">
        <v>57</v>
      </c>
      <c r="G7">
        <v>94</v>
      </c>
      <c r="H7">
        <v>67</v>
      </c>
      <c r="I7">
        <v>99</v>
      </c>
      <c r="J7">
        <v>114</v>
      </c>
      <c r="K7">
        <v>77</v>
      </c>
      <c r="L7">
        <v>86</v>
      </c>
      <c r="M7">
        <v>63</v>
      </c>
      <c r="N7">
        <v>92</v>
      </c>
      <c r="O7">
        <v>117</v>
      </c>
      <c r="P7">
        <v>56</v>
      </c>
      <c r="Q7">
        <v>99</v>
      </c>
      <c r="R7">
        <v>55</v>
      </c>
      <c r="S7">
        <v>105</v>
      </c>
      <c r="T7">
        <v>78</v>
      </c>
      <c r="U7">
        <v>86</v>
      </c>
      <c r="V7">
        <v>83</v>
      </c>
      <c r="W7">
        <v>98</v>
      </c>
      <c r="X7">
        <v>75</v>
      </c>
      <c r="Y7">
        <v>99</v>
      </c>
      <c r="Z7">
        <v>83</v>
      </c>
      <c r="AA7">
        <v>76</v>
      </c>
      <c r="AB7">
        <v>116</v>
      </c>
      <c r="AC7">
        <v>118</v>
      </c>
      <c r="AD7">
        <v>104</v>
      </c>
      <c r="AE7">
        <v>61</v>
      </c>
      <c r="AF7">
        <v>85</v>
      </c>
      <c r="AG7">
        <v>105</v>
      </c>
    </row>
    <row r="8" spans="1:33" x14ac:dyDescent="0.3">
      <c r="A8" t="str">
        <f>INDEX([1]Sheet1!$E:$E,MATCH(B8,[1]Sheet1!$D:$D,0))</f>
        <v>Part 43 for Terios</v>
      </c>
      <c r="B8" t="s">
        <v>39</v>
      </c>
      <c r="C8">
        <v>100</v>
      </c>
      <c r="D8">
        <v>74</v>
      </c>
      <c r="E8">
        <v>50</v>
      </c>
      <c r="F8">
        <v>85</v>
      </c>
      <c r="G8">
        <v>108</v>
      </c>
      <c r="H8">
        <v>99</v>
      </c>
      <c r="I8">
        <v>80</v>
      </c>
      <c r="J8">
        <v>92</v>
      </c>
      <c r="K8">
        <v>92</v>
      </c>
      <c r="L8">
        <v>75</v>
      </c>
      <c r="M8">
        <v>72</v>
      </c>
      <c r="N8">
        <v>77</v>
      </c>
      <c r="O8">
        <v>104</v>
      </c>
      <c r="P8">
        <v>59</v>
      </c>
      <c r="Q8">
        <v>63</v>
      </c>
      <c r="R8">
        <v>73</v>
      </c>
      <c r="S8">
        <v>117</v>
      </c>
      <c r="T8">
        <v>51</v>
      </c>
      <c r="U8">
        <v>97</v>
      </c>
      <c r="V8">
        <v>106</v>
      </c>
      <c r="W8">
        <v>66</v>
      </c>
      <c r="X8">
        <v>52</v>
      </c>
      <c r="Y8">
        <v>54</v>
      </c>
      <c r="Z8">
        <v>69</v>
      </c>
      <c r="AA8">
        <v>52</v>
      </c>
      <c r="AB8">
        <v>86</v>
      </c>
      <c r="AC8">
        <v>57</v>
      </c>
      <c r="AD8">
        <v>113</v>
      </c>
      <c r="AE8">
        <v>84</v>
      </c>
      <c r="AF8">
        <v>102</v>
      </c>
      <c r="AG8">
        <v>97</v>
      </c>
    </row>
    <row r="9" spans="1:33" x14ac:dyDescent="0.3">
      <c r="A9" t="str">
        <f>INDEX([1]Sheet1!$E:$E,MATCH(B9,[1]Sheet1!$D:$D,0))</f>
        <v>Part 179 for Xenia</v>
      </c>
      <c r="B9" t="s">
        <v>40</v>
      </c>
      <c r="C9">
        <v>107</v>
      </c>
      <c r="D9">
        <v>57</v>
      </c>
      <c r="E9">
        <v>118</v>
      </c>
      <c r="F9">
        <v>90</v>
      </c>
      <c r="G9">
        <v>54</v>
      </c>
      <c r="H9">
        <v>65</v>
      </c>
      <c r="I9">
        <v>119</v>
      </c>
      <c r="J9">
        <v>118</v>
      </c>
      <c r="K9">
        <v>104</v>
      </c>
      <c r="L9">
        <v>57</v>
      </c>
      <c r="M9">
        <v>87</v>
      </c>
      <c r="N9">
        <v>100</v>
      </c>
      <c r="O9">
        <v>64</v>
      </c>
      <c r="P9">
        <v>79</v>
      </c>
      <c r="Q9">
        <v>119</v>
      </c>
      <c r="R9">
        <v>95</v>
      </c>
      <c r="S9">
        <v>68</v>
      </c>
      <c r="T9">
        <v>116</v>
      </c>
      <c r="U9">
        <v>50</v>
      </c>
      <c r="V9">
        <v>87</v>
      </c>
      <c r="W9">
        <v>85</v>
      </c>
      <c r="X9">
        <v>85</v>
      </c>
      <c r="Y9">
        <v>89</v>
      </c>
      <c r="Z9">
        <v>65</v>
      </c>
      <c r="AA9">
        <v>89</v>
      </c>
      <c r="AB9">
        <v>116</v>
      </c>
      <c r="AC9">
        <v>117</v>
      </c>
      <c r="AD9">
        <v>89</v>
      </c>
      <c r="AE9">
        <v>56</v>
      </c>
      <c r="AF9">
        <v>90</v>
      </c>
      <c r="AG9">
        <v>85</v>
      </c>
    </row>
    <row r="10" spans="1:33" x14ac:dyDescent="0.3">
      <c r="A10" t="str">
        <f>INDEX([1]Sheet1!$E:$E,MATCH(B10,[1]Sheet1!$D:$D,0))</f>
        <v>Part 59 for Terios</v>
      </c>
      <c r="B10" t="s">
        <v>41</v>
      </c>
      <c r="C10">
        <v>107</v>
      </c>
      <c r="D10">
        <v>84</v>
      </c>
      <c r="E10">
        <v>90</v>
      </c>
      <c r="F10">
        <v>106</v>
      </c>
      <c r="G10">
        <v>96</v>
      </c>
      <c r="H10">
        <v>100</v>
      </c>
      <c r="I10">
        <v>86</v>
      </c>
      <c r="J10">
        <v>85</v>
      </c>
      <c r="K10">
        <v>88</v>
      </c>
      <c r="L10">
        <v>101</v>
      </c>
      <c r="M10">
        <v>97</v>
      </c>
      <c r="N10">
        <v>93</v>
      </c>
      <c r="O10">
        <v>95</v>
      </c>
      <c r="P10">
        <v>63</v>
      </c>
      <c r="Q10">
        <v>116</v>
      </c>
      <c r="R10">
        <v>93</v>
      </c>
      <c r="S10">
        <v>75</v>
      </c>
      <c r="T10">
        <v>80</v>
      </c>
      <c r="U10">
        <v>62</v>
      </c>
      <c r="V10">
        <v>76</v>
      </c>
      <c r="W10">
        <v>99</v>
      </c>
      <c r="X10">
        <v>114</v>
      </c>
      <c r="Y10">
        <v>61</v>
      </c>
      <c r="Z10">
        <v>91</v>
      </c>
      <c r="AA10">
        <v>67</v>
      </c>
      <c r="AB10">
        <v>118</v>
      </c>
      <c r="AC10">
        <v>102</v>
      </c>
      <c r="AD10">
        <v>115</v>
      </c>
      <c r="AE10">
        <v>117</v>
      </c>
      <c r="AF10">
        <v>83</v>
      </c>
      <c r="AG10">
        <v>120</v>
      </c>
    </row>
    <row r="11" spans="1:33" x14ac:dyDescent="0.3">
      <c r="A11" t="str">
        <f>INDEX([1]Sheet1!$E:$E,MATCH(B11,[1]Sheet1!$D:$D,0))</f>
        <v>Part 97 for Xenia</v>
      </c>
      <c r="B11" t="s">
        <v>42</v>
      </c>
      <c r="C11">
        <v>60</v>
      </c>
      <c r="D11">
        <v>108</v>
      </c>
      <c r="E11">
        <v>65</v>
      </c>
      <c r="F11">
        <v>72</v>
      </c>
      <c r="G11">
        <v>80</v>
      </c>
      <c r="H11">
        <v>87</v>
      </c>
      <c r="I11">
        <v>111</v>
      </c>
      <c r="J11">
        <v>104</v>
      </c>
      <c r="K11">
        <v>99</v>
      </c>
      <c r="L11">
        <v>115</v>
      </c>
      <c r="M11">
        <v>119</v>
      </c>
      <c r="N11">
        <v>70</v>
      </c>
      <c r="O11">
        <v>89</v>
      </c>
      <c r="P11">
        <v>85</v>
      </c>
      <c r="Q11">
        <v>113</v>
      </c>
      <c r="R11">
        <v>101</v>
      </c>
      <c r="S11">
        <v>60</v>
      </c>
      <c r="T11">
        <v>51</v>
      </c>
      <c r="U11">
        <v>56</v>
      </c>
      <c r="V11">
        <v>112</v>
      </c>
      <c r="W11">
        <v>62</v>
      </c>
      <c r="X11">
        <v>113</v>
      </c>
      <c r="Y11">
        <v>108</v>
      </c>
      <c r="Z11">
        <v>108</v>
      </c>
      <c r="AA11">
        <v>54</v>
      </c>
      <c r="AB11">
        <v>116</v>
      </c>
      <c r="AC11">
        <v>82</v>
      </c>
      <c r="AD11">
        <v>66</v>
      </c>
      <c r="AE11">
        <v>60</v>
      </c>
      <c r="AF11">
        <v>102</v>
      </c>
      <c r="AG11">
        <v>85</v>
      </c>
    </row>
    <row r="12" spans="1:33" x14ac:dyDescent="0.3">
      <c r="A12" t="str">
        <f>INDEX([1]Sheet1!$E:$E,MATCH(B12,[1]Sheet1!$D:$D,0))</f>
        <v>Part 91 for Yaris</v>
      </c>
      <c r="B12" t="s">
        <v>43</v>
      </c>
      <c r="C12">
        <v>75</v>
      </c>
      <c r="D12">
        <v>58</v>
      </c>
      <c r="E12">
        <v>109</v>
      </c>
      <c r="F12">
        <v>113</v>
      </c>
      <c r="G12">
        <v>90</v>
      </c>
      <c r="H12">
        <v>102</v>
      </c>
      <c r="I12">
        <v>70</v>
      </c>
      <c r="J12">
        <v>92</v>
      </c>
      <c r="K12">
        <v>90</v>
      </c>
      <c r="L12">
        <v>97</v>
      </c>
      <c r="M12">
        <v>60</v>
      </c>
      <c r="N12">
        <v>72</v>
      </c>
      <c r="O12">
        <v>116</v>
      </c>
      <c r="P12">
        <v>84</v>
      </c>
      <c r="Q12">
        <v>117</v>
      </c>
      <c r="R12">
        <v>97</v>
      </c>
      <c r="S12">
        <v>56</v>
      </c>
      <c r="T12">
        <v>80</v>
      </c>
      <c r="U12">
        <v>55</v>
      </c>
      <c r="V12">
        <v>114</v>
      </c>
      <c r="W12">
        <v>85</v>
      </c>
      <c r="X12">
        <v>85</v>
      </c>
      <c r="Y12">
        <v>88</v>
      </c>
      <c r="Z12">
        <v>119</v>
      </c>
      <c r="AA12">
        <v>75</v>
      </c>
      <c r="AB12">
        <v>74</v>
      </c>
      <c r="AC12">
        <v>98</v>
      </c>
      <c r="AD12">
        <v>109</v>
      </c>
      <c r="AE12">
        <v>117</v>
      </c>
      <c r="AF12">
        <v>108</v>
      </c>
      <c r="AG12">
        <v>74</v>
      </c>
    </row>
    <row r="13" spans="1:33" x14ac:dyDescent="0.3">
      <c r="A13" t="str">
        <f>INDEX([1]Sheet1!$E:$E,MATCH(B13,[1]Sheet1!$D:$D,0))</f>
        <v>Part 40 for Rush</v>
      </c>
      <c r="B13" t="s">
        <v>44</v>
      </c>
      <c r="C13">
        <v>94</v>
      </c>
      <c r="D13">
        <v>118</v>
      </c>
      <c r="E13">
        <v>61</v>
      </c>
      <c r="F13">
        <v>59</v>
      </c>
      <c r="G13">
        <v>114</v>
      </c>
      <c r="H13">
        <v>58</v>
      </c>
      <c r="I13">
        <v>107</v>
      </c>
      <c r="J13">
        <v>106</v>
      </c>
      <c r="K13">
        <v>54</v>
      </c>
      <c r="L13">
        <v>92</v>
      </c>
      <c r="M13">
        <v>92</v>
      </c>
      <c r="N13">
        <v>55</v>
      </c>
      <c r="O13">
        <v>99</v>
      </c>
      <c r="P13">
        <v>57</v>
      </c>
      <c r="Q13">
        <v>98</v>
      </c>
      <c r="R13">
        <v>57</v>
      </c>
      <c r="S13">
        <v>83</v>
      </c>
      <c r="T13">
        <v>112</v>
      </c>
      <c r="U13">
        <v>108</v>
      </c>
      <c r="V13">
        <v>105</v>
      </c>
      <c r="W13">
        <v>70</v>
      </c>
      <c r="X13">
        <v>105</v>
      </c>
      <c r="Y13">
        <v>100</v>
      </c>
      <c r="Z13">
        <v>77</v>
      </c>
      <c r="AA13">
        <v>104</v>
      </c>
      <c r="AB13">
        <v>73</v>
      </c>
      <c r="AC13">
        <v>55</v>
      </c>
      <c r="AD13">
        <v>74</v>
      </c>
      <c r="AE13">
        <v>71</v>
      </c>
      <c r="AF13">
        <v>53</v>
      </c>
      <c r="AG13">
        <v>119</v>
      </c>
    </row>
    <row r="14" spans="1:33" x14ac:dyDescent="0.3">
      <c r="A14" t="str">
        <f>INDEX([1]Sheet1!$E:$E,MATCH(B14,[1]Sheet1!$D:$D,0))</f>
        <v>Part 200 for Sigra</v>
      </c>
      <c r="B14" t="s">
        <v>45</v>
      </c>
      <c r="C14">
        <v>83</v>
      </c>
      <c r="D14">
        <v>62</v>
      </c>
      <c r="E14">
        <v>90</v>
      </c>
      <c r="F14">
        <v>64</v>
      </c>
      <c r="G14">
        <v>74</v>
      </c>
      <c r="H14">
        <v>119</v>
      </c>
      <c r="I14">
        <v>78</v>
      </c>
      <c r="J14">
        <v>90</v>
      </c>
      <c r="K14">
        <v>57</v>
      </c>
      <c r="L14">
        <v>53</v>
      </c>
      <c r="M14">
        <v>79</v>
      </c>
      <c r="N14">
        <v>57</v>
      </c>
      <c r="O14">
        <v>63</v>
      </c>
      <c r="P14">
        <v>99</v>
      </c>
      <c r="Q14">
        <v>110</v>
      </c>
      <c r="R14">
        <v>112</v>
      </c>
      <c r="S14">
        <v>73</v>
      </c>
      <c r="T14">
        <v>106</v>
      </c>
      <c r="U14">
        <v>107</v>
      </c>
      <c r="V14">
        <v>62</v>
      </c>
      <c r="W14">
        <v>105</v>
      </c>
      <c r="X14">
        <v>62</v>
      </c>
      <c r="Y14">
        <v>104</v>
      </c>
      <c r="Z14">
        <v>55</v>
      </c>
      <c r="AA14">
        <v>88</v>
      </c>
      <c r="AB14">
        <v>52</v>
      </c>
      <c r="AC14">
        <v>83</v>
      </c>
      <c r="AD14">
        <v>92</v>
      </c>
      <c r="AE14">
        <v>94</v>
      </c>
      <c r="AF14">
        <v>119</v>
      </c>
      <c r="AG14">
        <v>59</v>
      </c>
    </row>
    <row r="15" spans="1:33" x14ac:dyDescent="0.3">
      <c r="A15" t="str">
        <f>INDEX([1]Sheet1!$E:$E,MATCH(B15,[1]Sheet1!$D:$D,0))</f>
        <v>Part 116 for Avanza</v>
      </c>
      <c r="B15" t="s">
        <v>33</v>
      </c>
      <c r="C15">
        <v>120</v>
      </c>
      <c r="D15">
        <v>86</v>
      </c>
      <c r="E15">
        <v>108</v>
      </c>
      <c r="F15">
        <v>65</v>
      </c>
      <c r="G15">
        <v>57</v>
      </c>
      <c r="H15">
        <v>109</v>
      </c>
      <c r="I15">
        <v>75</v>
      </c>
      <c r="J15">
        <v>85</v>
      </c>
      <c r="K15">
        <v>107</v>
      </c>
      <c r="L15">
        <v>91</v>
      </c>
      <c r="M15">
        <v>118</v>
      </c>
      <c r="N15">
        <v>72</v>
      </c>
      <c r="O15">
        <v>78</v>
      </c>
      <c r="P15">
        <v>116</v>
      </c>
      <c r="Q15">
        <v>80</v>
      </c>
      <c r="R15">
        <v>78</v>
      </c>
      <c r="S15">
        <v>102</v>
      </c>
      <c r="T15">
        <v>106</v>
      </c>
      <c r="U15">
        <v>51</v>
      </c>
      <c r="V15">
        <v>54</v>
      </c>
      <c r="W15">
        <v>113</v>
      </c>
      <c r="X15">
        <v>85</v>
      </c>
      <c r="Y15">
        <v>96</v>
      </c>
      <c r="Z15">
        <v>99</v>
      </c>
      <c r="AA15">
        <v>68</v>
      </c>
      <c r="AB15">
        <v>65</v>
      </c>
      <c r="AC15">
        <v>94</v>
      </c>
      <c r="AD15">
        <v>76</v>
      </c>
      <c r="AE15">
        <v>118</v>
      </c>
      <c r="AF15">
        <v>63</v>
      </c>
      <c r="AG15">
        <v>56</v>
      </c>
    </row>
    <row r="16" spans="1:33" x14ac:dyDescent="0.3">
      <c r="A16" t="str">
        <f>INDEX([1]Sheet1!$E:$E,MATCH(B16,[1]Sheet1!$D:$D,0))</f>
        <v>Part 175 for Xenia</v>
      </c>
      <c r="B16" t="s">
        <v>46</v>
      </c>
      <c r="C16">
        <v>85</v>
      </c>
      <c r="D16">
        <v>104</v>
      </c>
      <c r="E16">
        <v>57</v>
      </c>
      <c r="F16">
        <v>98</v>
      </c>
      <c r="G16">
        <v>101</v>
      </c>
      <c r="H16">
        <v>67</v>
      </c>
      <c r="I16">
        <v>105</v>
      </c>
      <c r="J16">
        <v>61</v>
      </c>
      <c r="K16">
        <v>80</v>
      </c>
      <c r="L16">
        <v>79</v>
      </c>
      <c r="M16">
        <v>88</v>
      </c>
      <c r="N16">
        <v>118</v>
      </c>
      <c r="O16">
        <v>85</v>
      </c>
      <c r="P16">
        <v>64</v>
      </c>
      <c r="Q16">
        <v>75</v>
      </c>
      <c r="R16">
        <v>78</v>
      </c>
      <c r="S16">
        <v>116</v>
      </c>
      <c r="T16">
        <v>94</v>
      </c>
      <c r="U16">
        <v>104</v>
      </c>
      <c r="V16">
        <v>79</v>
      </c>
      <c r="W16">
        <v>113</v>
      </c>
      <c r="X16">
        <v>92</v>
      </c>
      <c r="Y16">
        <v>96</v>
      </c>
      <c r="Z16">
        <v>111</v>
      </c>
      <c r="AA16">
        <v>66</v>
      </c>
      <c r="AB16">
        <v>70</v>
      </c>
      <c r="AC16">
        <v>70</v>
      </c>
      <c r="AD16">
        <v>91</v>
      </c>
      <c r="AE16">
        <v>105</v>
      </c>
      <c r="AF16">
        <v>77</v>
      </c>
      <c r="AG16">
        <v>60</v>
      </c>
    </row>
    <row r="17" spans="1:33" x14ac:dyDescent="0.3">
      <c r="A17" t="str">
        <f>INDEX([1]Sheet1!$E:$E,MATCH(B17,[1]Sheet1!$D:$D,0))</f>
        <v>Part 171 for Rush</v>
      </c>
      <c r="B17" t="s">
        <v>47</v>
      </c>
      <c r="C17">
        <v>61</v>
      </c>
      <c r="D17">
        <v>92</v>
      </c>
      <c r="E17">
        <v>92</v>
      </c>
      <c r="F17">
        <v>107</v>
      </c>
      <c r="G17">
        <v>96</v>
      </c>
      <c r="H17">
        <v>68</v>
      </c>
      <c r="I17">
        <v>68</v>
      </c>
      <c r="J17">
        <v>118</v>
      </c>
      <c r="K17">
        <v>103</v>
      </c>
      <c r="L17">
        <v>119</v>
      </c>
      <c r="M17">
        <v>91</v>
      </c>
      <c r="N17">
        <v>67</v>
      </c>
      <c r="O17">
        <v>110</v>
      </c>
      <c r="P17">
        <v>90</v>
      </c>
      <c r="Q17">
        <v>73</v>
      </c>
      <c r="R17">
        <v>101</v>
      </c>
      <c r="S17">
        <v>77</v>
      </c>
      <c r="T17">
        <v>97</v>
      </c>
      <c r="U17">
        <v>58</v>
      </c>
      <c r="V17">
        <v>59</v>
      </c>
      <c r="W17">
        <v>118</v>
      </c>
      <c r="X17">
        <v>82</v>
      </c>
      <c r="Y17">
        <v>112</v>
      </c>
      <c r="Z17">
        <v>70</v>
      </c>
      <c r="AA17">
        <v>110</v>
      </c>
      <c r="AB17">
        <v>65</v>
      </c>
      <c r="AC17">
        <v>87</v>
      </c>
      <c r="AD17">
        <v>54</v>
      </c>
      <c r="AE17">
        <v>61</v>
      </c>
      <c r="AF17">
        <v>77</v>
      </c>
      <c r="AG17">
        <v>76</v>
      </c>
    </row>
    <row r="18" spans="1:33" x14ac:dyDescent="0.3">
      <c r="A18" t="str">
        <f>INDEX([1]Sheet1!$E:$E,MATCH(B18,[1]Sheet1!$D:$D,0))</f>
        <v>Part 120 for Avanza</v>
      </c>
      <c r="B18" t="s">
        <v>48</v>
      </c>
      <c r="C18">
        <v>81</v>
      </c>
      <c r="D18">
        <v>106</v>
      </c>
      <c r="E18">
        <v>118</v>
      </c>
      <c r="F18">
        <v>106</v>
      </c>
      <c r="G18">
        <v>64</v>
      </c>
      <c r="H18">
        <v>60</v>
      </c>
      <c r="I18">
        <v>55</v>
      </c>
      <c r="J18">
        <v>88</v>
      </c>
      <c r="K18">
        <v>59</v>
      </c>
      <c r="L18">
        <v>64</v>
      </c>
      <c r="M18">
        <v>68</v>
      </c>
      <c r="N18">
        <v>59</v>
      </c>
      <c r="O18">
        <v>60</v>
      </c>
      <c r="P18">
        <v>74</v>
      </c>
      <c r="Q18">
        <v>58</v>
      </c>
      <c r="R18">
        <v>100</v>
      </c>
      <c r="S18">
        <v>102</v>
      </c>
      <c r="T18">
        <v>60</v>
      </c>
      <c r="U18">
        <v>108</v>
      </c>
      <c r="V18">
        <v>116</v>
      </c>
      <c r="W18">
        <v>68</v>
      </c>
      <c r="X18">
        <v>112</v>
      </c>
      <c r="Y18">
        <v>50</v>
      </c>
      <c r="Z18">
        <v>115</v>
      </c>
      <c r="AA18">
        <v>99</v>
      </c>
      <c r="AB18">
        <v>108</v>
      </c>
      <c r="AC18">
        <v>64</v>
      </c>
      <c r="AD18">
        <v>85</v>
      </c>
      <c r="AE18">
        <v>97</v>
      </c>
      <c r="AF18">
        <v>92</v>
      </c>
      <c r="AG18">
        <v>95</v>
      </c>
    </row>
    <row r="19" spans="1:33" x14ac:dyDescent="0.3">
      <c r="A19" t="str">
        <f>INDEX([1]Sheet1!$E:$E,MATCH(B19,[1]Sheet1!$D:$D,0))</f>
        <v>Part 141 for Fortuner</v>
      </c>
      <c r="B19" t="s">
        <v>49</v>
      </c>
      <c r="C19">
        <v>105</v>
      </c>
      <c r="D19">
        <v>59</v>
      </c>
      <c r="E19">
        <v>63</v>
      </c>
      <c r="F19">
        <v>69</v>
      </c>
      <c r="G19">
        <v>94</v>
      </c>
      <c r="H19">
        <v>62</v>
      </c>
      <c r="I19">
        <v>64</v>
      </c>
      <c r="J19">
        <v>100</v>
      </c>
      <c r="K19">
        <v>72</v>
      </c>
      <c r="L19">
        <v>119</v>
      </c>
      <c r="M19">
        <v>108</v>
      </c>
      <c r="N19">
        <v>54</v>
      </c>
      <c r="O19">
        <v>71</v>
      </c>
      <c r="P19">
        <v>92</v>
      </c>
      <c r="Q19">
        <v>114</v>
      </c>
      <c r="R19">
        <v>85</v>
      </c>
      <c r="S19">
        <v>60</v>
      </c>
      <c r="T19">
        <v>51</v>
      </c>
      <c r="U19">
        <v>103</v>
      </c>
      <c r="V19">
        <v>76</v>
      </c>
      <c r="W19">
        <v>98</v>
      </c>
      <c r="X19">
        <v>109</v>
      </c>
      <c r="Y19">
        <v>57</v>
      </c>
      <c r="Z19">
        <v>114</v>
      </c>
      <c r="AA19">
        <v>53</v>
      </c>
      <c r="AB19">
        <v>86</v>
      </c>
      <c r="AC19">
        <v>105</v>
      </c>
      <c r="AD19">
        <v>70</v>
      </c>
      <c r="AE19">
        <v>52</v>
      </c>
      <c r="AF19">
        <v>92</v>
      </c>
      <c r="AG19">
        <v>73</v>
      </c>
    </row>
    <row r="20" spans="1:33" x14ac:dyDescent="0.3">
      <c r="A20" t="str">
        <f>INDEX([1]Sheet1!$E:$E,MATCH(B20,[1]Sheet1!$D:$D,0))</f>
        <v>Part 33 for Sigra</v>
      </c>
      <c r="B20" t="s">
        <v>50</v>
      </c>
      <c r="C20">
        <v>119</v>
      </c>
      <c r="D20">
        <v>65</v>
      </c>
      <c r="E20">
        <v>84</v>
      </c>
      <c r="F20">
        <v>84</v>
      </c>
      <c r="G20">
        <v>104</v>
      </c>
      <c r="H20">
        <v>69</v>
      </c>
      <c r="I20">
        <v>112</v>
      </c>
      <c r="J20">
        <v>92</v>
      </c>
      <c r="K20">
        <v>115</v>
      </c>
      <c r="L20">
        <v>90</v>
      </c>
      <c r="M20">
        <v>54</v>
      </c>
      <c r="N20">
        <v>69</v>
      </c>
      <c r="O20">
        <v>54</v>
      </c>
      <c r="P20">
        <v>84</v>
      </c>
      <c r="Q20">
        <v>68</v>
      </c>
      <c r="R20">
        <v>107</v>
      </c>
      <c r="S20">
        <v>98</v>
      </c>
      <c r="T20">
        <v>104</v>
      </c>
      <c r="U20">
        <v>97</v>
      </c>
      <c r="V20">
        <v>86</v>
      </c>
      <c r="W20">
        <v>105</v>
      </c>
      <c r="X20">
        <v>109</v>
      </c>
      <c r="Y20">
        <v>51</v>
      </c>
      <c r="Z20">
        <v>105</v>
      </c>
      <c r="AA20">
        <v>109</v>
      </c>
      <c r="AB20">
        <v>106</v>
      </c>
      <c r="AC20">
        <v>96</v>
      </c>
      <c r="AD20">
        <v>67</v>
      </c>
      <c r="AE20">
        <v>74</v>
      </c>
      <c r="AF20">
        <v>63</v>
      </c>
      <c r="AG20">
        <v>86</v>
      </c>
    </row>
    <row r="21" spans="1:33" x14ac:dyDescent="0.3">
      <c r="A21" t="str">
        <f>INDEX([1]Sheet1!$E:$E,MATCH(B21,[1]Sheet1!$D:$D,0))</f>
        <v>Part 28 for Yaris</v>
      </c>
      <c r="B21" t="s">
        <v>51</v>
      </c>
      <c r="C21">
        <v>76</v>
      </c>
      <c r="D21">
        <v>67</v>
      </c>
      <c r="E21">
        <v>81</v>
      </c>
      <c r="F21">
        <v>98</v>
      </c>
      <c r="G21">
        <v>67</v>
      </c>
      <c r="H21">
        <v>55</v>
      </c>
      <c r="I21">
        <v>54</v>
      </c>
      <c r="J21">
        <v>110</v>
      </c>
      <c r="K21">
        <v>88</v>
      </c>
      <c r="L21">
        <v>77</v>
      </c>
      <c r="M21">
        <v>58</v>
      </c>
      <c r="N21">
        <v>90</v>
      </c>
      <c r="O21">
        <v>81</v>
      </c>
      <c r="P21">
        <v>84</v>
      </c>
      <c r="Q21">
        <v>64</v>
      </c>
      <c r="R21">
        <v>63</v>
      </c>
      <c r="S21">
        <v>93</v>
      </c>
      <c r="T21">
        <v>112</v>
      </c>
      <c r="U21">
        <v>107</v>
      </c>
      <c r="V21">
        <v>60</v>
      </c>
      <c r="W21">
        <v>98</v>
      </c>
      <c r="X21">
        <v>81</v>
      </c>
      <c r="Y21">
        <v>93</v>
      </c>
      <c r="Z21">
        <v>105</v>
      </c>
      <c r="AA21">
        <v>91</v>
      </c>
      <c r="AB21">
        <v>104</v>
      </c>
      <c r="AC21">
        <v>79</v>
      </c>
      <c r="AD21">
        <v>110</v>
      </c>
      <c r="AE21">
        <v>56</v>
      </c>
      <c r="AF21">
        <v>57</v>
      </c>
      <c r="AG21">
        <v>67</v>
      </c>
    </row>
    <row r="22" spans="1:33" x14ac:dyDescent="0.3">
      <c r="A22" t="str">
        <f>INDEX([1]Sheet1!$E:$E,MATCH(B22,[1]Sheet1!$D:$D,0))</f>
        <v>Part 86 for Sigra</v>
      </c>
      <c r="B22" t="s">
        <v>52</v>
      </c>
      <c r="C22">
        <v>110</v>
      </c>
      <c r="D22">
        <v>78</v>
      </c>
      <c r="E22">
        <v>58</v>
      </c>
      <c r="F22">
        <v>59</v>
      </c>
      <c r="G22">
        <v>118</v>
      </c>
      <c r="H22">
        <v>89</v>
      </c>
      <c r="I22">
        <v>72</v>
      </c>
      <c r="J22">
        <v>71</v>
      </c>
      <c r="K22">
        <v>113</v>
      </c>
      <c r="L22">
        <v>107</v>
      </c>
      <c r="M22">
        <v>85</v>
      </c>
      <c r="N22">
        <v>77</v>
      </c>
      <c r="O22">
        <v>83</v>
      </c>
      <c r="P22">
        <v>81</v>
      </c>
      <c r="Q22">
        <v>95</v>
      </c>
      <c r="R22">
        <v>98</v>
      </c>
      <c r="S22">
        <v>83</v>
      </c>
      <c r="T22">
        <v>114</v>
      </c>
      <c r="U22">
        <v>77</v>
      </c>
      <c r="V22">
        <v>86</v>
      </c>
      <c r="W22">
        <v>73</v>
      </c>
      <c r="X22">
        <v>113</v>
      </c>
      <c r="Y22">
        <v>99</v>
      </c>
      <c r="Z22">
        <v>73</v>
      </c>
      <c r="AA22">
        <v>89</v>
      </c>
      <c r="AB22">
        <v>103</v>
      </c>
      <c r="AC22">
        <v>53</v>
      </c>
      <c r="AD22">
        <v>96</v>
      </c>
      <c r="AE22">
        <v>85</v>
      </c>
      <c r="AF22">
        <v>113</v>
      </c>
      <c r="AG22">
        <v>104</v>
      </c>
    </row>
    <row r="23" spans="1:33" x14ac:dyDescent="0.3">
      <c r="A23" t="str">
        <f>INDEX([1]Sheet1!$E:$E,MATCH(B23,[1]Sheet1!$D:$D,0))</f>
        <v>Part 47 for Yaris</v>
      </c>
      <c r="B23" t="s">
        <v>53</v>
      </c>
      <c r="C23">
        <v>67</v>
      </c>
      <c r="D23">
        <v>88</v>
      </c>
      <c r="E23">
        <v>52</v>
      </c>
      <c r="F23">
        <v>57</v>
      </c>
      <c r="G23">
        <v>77</v>
      </c>
      <c r="H23">
        <v>95</v>
      </c>
      <c r="I23">
        <v>72</v>
      </c>
      <c r="J23">
        <v>78</v>
      </c>
      <c r="K23">
        <v>62</v>
      </c>
      <c r="L23">
        <v>107</v>
      </c>
      <c r="M23">
        <v>115</v>
      </c>
      <c r="N23">
        <v>66</v>
      </c>
      <c r="O23">
        <v>83</v>
      </c>
      <c r="P23">
        <v>91</v>
      </c>
      <c r="Q23">
        <v>98</v>
      </c>
      <c r="R23">
        <v>78</v>
      </c>
      <c r="S23">
        <v>92</v>
      </c>
      <c r="T23">
        <v>60</v>
      </c>
      <c r="U23">
        <v>104</v>
      </c>
      <c r="V23">
        <v>112</v>
      </c>
      <c r="W23">
        <v>93</v>
      </c>
      <c r="X23">
        <v>76</v>
      </c>
      <c r="Y23">
        <v>69</v>
      </c>
      <c r="Z23">
        <v>86</v>
      </c>
      <c r="AA23">
        <v>83</v>
      </c>
      <c r="AB23">
        <v>55</v>
      </c>
      <c r="AC23">
        <v>103</v>
      </c>
      <c r="AD23">
        <v>63</v>
      </c>
      <c r="AE23">
        <v>108</v>
      </c>
      <c r="AF23">
        <v>62</v>
      </c>
      <c r="AG23">
        <v>53</v>
      </c>
    </row>
    <row r="24" spans="1:33" x14ac:dyDescent="0.3">
      <c r="A24" t="str">
        <f>INDEX([1]Sheet1!$E:$E,MATCH(B24,[1]Sheet1!$D:$D,0))</f>
        <v>Part 20 for Rush</v>
      </c>
      <c r="B24" t="s">
        <v>54</v>
      </c>
      <c r="C24">
        <v>67</v>
      </c>
      <c r="D24">
        <v>74</v>
      </c>
      <c r="E24">
        <v>91</v>
      </c>
      <c r="F24">
        <v>102</v>
      </c>
      <c r="G24">
        <v>118</v>
      </c>
      <c r="H24">
        <v>103</v>
      </c>
      <c r="I24">
        <v>54</v>
      </c>
      <c r="J24">
        <v>90</v>
      </c>
      <c r="K24">
        <v>74</v>
      </c>
      <c r="L24">
        <v>60</v>
      </c>
      <c r="M24">
        <v>70</v>
      </c>
      <c r="N24">
        <v>61</v>
      </c>
      <c r="O24">
        <v>110</v>
      </c>
      <c r="P24">
        <v>110</v>
      </c>
      <c r="Q24">
        <v>107</v>
      </c>
      <c r="R24">
        <v>65</v>
      </c>
      <c r="S24">
        <v>68</v>
      </c>
      <c r="T24">
        <v>92</v>
      </c>
      <c r="U24">
        <v>117</v>
      </c>
      <c r="V24">
        <v>53</v>
      </c>
      <c r="W24">
        <v>50</v>
      </c>
      <c r="X24">
        <v>116</v>
      </c>
      <c r="Y24">
        <v>50</v>
      </c>
      <c r="Z24">
        <v>61</v>
      </c>
      <c r="AA24">
        <v>96</v>
      </c>
      <c r="AB24">
        <v>112</v>
      </c>
      <c r="AC24">
        <v>86</v>
      </c>
      <c r="AD24">
        <v>76</v>
      </c>
      <c r="AE24">
        <v>112</v>
      </c>
      <c r="AF24">
        <v>68</v>
      </c>
      <c r="AG24">
        <v>56</v>
      </c>
    </row>
    <row r="25" spans="1:33" x14ac:dyDescent="0.3">
      <c r="A25" t="str">
        <f>INDEX([1]Sheet1!$E:$E,MATCH(B25,[1]Sheet1!$D:$D,0))</f>
        <v>Part 36 for Avanza</v>
      </c>
      <c r="B25" t="s">
        <v>55</v>
      </c>
      <c r="C25">
        <v>80</v>
      </c>
      <c r="D25">
        <v>60</v>
      </c>
      <c r="E25">
        <v>93</v>
      </c>
      <c r="F25">
        <v>60</v>
      </c>
      <c r="G25">
        <v>52</v>
      </c>
      <c r="H25">
        <v>111</v>
      </c>
      <c r="I25">
        <v>50</v>
      </c>
      <c r="J25">
        <v>88</v>
      </c>
      <c r="K25">
        <v>62</v>
      </c>
      <c r="L25">
        <v>50</v>
      </c>
      <c r="M25">
        <v>69</v>
      </c>
      <c r="N25">
        <v>62</v>
      </c>
      <c r="O25">
        <v>85</v>
      </c>
      <c r="P25">
        <v>104</v>
      </c>
      <c r="Q25">
        <v>83</v>
      </c>
      <c r="R25">
        <v>100</v>
      </c>
      <c r="S25">
        <v>119</v>
      </c>
      <c r="T25">
        <v>112</v>
      </c>
      <c r="U25">
        <v>118</v>
      </c>
      <c r="V25">
        <v>119</v>
      </c>
      <c r="W25">
        <v>117</v>
      </c>
      <c r="X25">
        <v>65</v>
      </c>
      <c r="Y25">
        <v>52</v>
      </c>
      <c r="Z25">
        <v>106</v>
      </c>
      <c r="AA25">
        <v>111</v>
      </c>
      <c r="AB25">
        <v>65</v>
      </c>
      <c r="AC25">
        <v>55</v>
      </c>
      <c r="AD25">
        <v>61</v>
      </c>
      <c r="AE25">
        <v>113</v>
      </c>
      <c r="AF25">
        <v>57</v>
      </c>
      <c r="AG25">
        <v>73</v>
      </c>
    </row>
    <row r="26" spans="1:33" x14ac:dyDescent="0.3">
      <c r="A26" t="str">
        <f>INDEX([1]Sheet1!$E:$E,MATCH(B26,[1]Sheet1!$D:$D,0))</f>
        <v>Part 198 for Sigra</v>
      </c>
      <c r="B26" t="s">
        <v>56</v>
      </c>
      <c r="C26">
        <v>88</v>
      </c>
      <c r="D26">
        <v>53</v>
      </c>
      <c r="E26">
        <v>116</v>
      </c>
      <c r="F26">
        <v>89</v>
      </c>
      <c r="G26">
        <v>52</v>
      </c>
      <c r="H26">
        <v>62</v>
      </c>
      <c r="I26">
        <v>113</v>
      </c>
      <c r="J26">
        <v>102</v>
      </c>
      <c r="K26">
        <v>54</v>
      </c>
      <c r="L26">
        <v>70</v>
      </c>
      <c r="M26">
        <v>86</v>
      </c>
      <c r="N26">
        <v>100</v>
      </c>
      <c r="O26">
        <v>54</v>
      </c>
      <c r="P26">
        <v>87</v>
      </c>
      <c r="Q26">
        <v>92</v>
      </c>
      <c r="R26">
        <v>101</v>
      </c>
      <c r="S26">
        <v>86</v>
      </c>
      <c r="T26">
        <v>77</v>
      </c>
      <c r="U26">
        <v>105</v>
      </c>
      <c r="V26">
        <v>92</v>
      </c>
      <c r="W26">
        <v>115</v>
      </c>
      <c r="X26">
        <v>109</v>
      </c>
      <c r="Y26">
        <v>57</v>
      </c>
      <c r="Z26">
        <v>112</v>
      </c>
      <c r="AA26">
        <v>71</v>
      </c>
      <c r="AB26">
        <v>115</v>
      </c>
      <c r="AC26">
        <v>103</v>
      </c>
      <c r="AD26">
        <v>113</v>
      </c>
      <c r="AE26">
        <v>55</v>
      </c>
      <c r="AF26">
        <v>65</v>
      </c>
      <c r="AG26">
        <v>81</v>
      </c>
    </row>
    <row r="27" spans="1:33" x14ac:dyDescent="0.3">
      <c r="A27" t="str">
        <f>INDEX([1]Sheet1!$E:$E,MATCH(B27,[1]Sheet1!$D:$D,0))</f>
        <v>Part 130 for Rush</v>
      </c>
      <c r="B27" t="s">
        <v>57</v>
      </c>
      <c r="C27">
        <v>93</v>
      </c>
      <c r="D27">
        <v>52</v>
      </c>
      <c r="E27">
        <v>76</v>
      </c>
      <c r="F27">
        <v>66</v>
      </c>
      <c r="G27">
        <v>60</v>
      </c>
      <c r="H27">
        <v>79</v>
      </c>
      <c r="I27">
        <v>100</v>
      </c>
      <c r="J27">
        <v>106</v>
      </c>
      <c r="K27">
        <v>92</v>
      </c>
      <c r="L27">
        <v>77</v>
      </c>
      <c r="M27">
        <v>58</v>
      </c>
      <c r="N27">
        <v>106</v>
      </c>
      <c r="O27">
        <v>58</v>
      </c>
      <c r="P27">
        <v>85</v>
      </c>
      <c r="Q27">
        <v>96</v>
      </c>
      <c r="R27">
        <v>104</v>
      </c>
      <c r="S27">
        <v>84</v>
      </c>
      <c r="T27">
        <v>75</v>
      </c>
      <c r="U27">
        <v>120</v>
      </c>
      <c r="V27">
        <v>76</v>
      </c>
      <c r="W27">
        <v>108</v>
      </c>
      <c r="X27">
        <v>90</v>
      </c>
      <c r="Y27">
        <v>57</v>
      </c>
      <c r="Z27">
        <v>54</v>
      </c>
      <c r="AA27">
        <v>101</v>
      </c>
      <c r="AB27">
        <v>75</v>
      </c>
      <c r="AC27">
        <v>50</v>
      </c>
      <c r="AD27">
        <v>109</v>
      </c>
      <c r="AE27">
        <v>103</v>
      </c>
      <c r="AF27">
        <v>75</v>
      </c>
      <c r="AG27">
        <v>115</v>
      </c>
    </row>
    <row r="28" spans="1:33" x14ac:dyDescent="0.3">
      <c r="A28" t="str">
        <f>INDEX([1]Sheet1!$E:$E,MATCH(B28,[1]Sheet1!$D:$D,0))</f>
        <v>Part 88 for Sigra</v>
      </c>
      <c r="B28" t="s">
        <v>58</v>
      </c>
      <c r="C28">
        <v>64</v>
      </c>
      <c r="D28">
        <v>120</v>
      </c>
      <c r="E28">
        <v>87</v>
      </c>
      <c r="F28">
        <v>56</v>
      </c>
      <c r="G28">
        <v>59</v>
      </c>
      <c r="H28">
        <v>102</v>
      </c>
      <c r="I28">
        <v>74</v>
      </c>
      <c r="J28">
        <v>85</v>
      </c>
      <c r="K28">
        <v>102</v>
      </c>
      <c r="L28">
        <v>107</v>
      </c>
      <c r="M28">
        <v>102</v>
      </c>
      <c r="N28">
        <v>115</v>
      </c>
      <c r="O28">
        <v>111</v>
      </c>
      <c r="P28">
        <v>118</v>
      </c>
      <c r="Q28">
        <v>118</v>
      </c>
      <c r="R28">
        <v>80</v>
      </c>
      <c r="S28">
        <v>75</v>
      </c>
      <c r="T28">
        <v>98</v>
      </c>
      <c r="U28">
        <v>58</v>
      </c>
      <c r="V28">
        <v>106</v>
      </c>
      <c r="W28">
        <v>73</v>
      </c>
      <c r="X28">
        <v>70</v>
      </c>
      <c r="Y28">
        <v>57</v>
      </c>
      <c r="Z28">
        <v>78</v>
      </c>
      <c r="AA28">
        <v>118</v>
      </c>
      <c r="AB28">
        <v>105</v>
      </c>
      <c r="AC28">
        <v>55</v>
      </c>
      <c r="AD28">
        <v>55</v>
      </c>
      <c r="AE28">
        <v>83</v>
      </c>
      <c r="AF28">
        <v>70</v>
      </c>
      <c r="AG28">
        <v>104</v>
      </c>
    </row>
    <row r="29" spans="1:33" x14ac:dyDescent="0.3">
      <c r="A29" t="str">
        <f>INDEX([1]Sheet1!$E:$E,MATCH(B29,[1]Sheet1!$D:$D,0))</f>
        <v>Part 164 for Triton</v>
      </c>
      <c r="B29" t="s">
        <v>59</v>
      </c>
      <c r="C29">
        <v>62</v>
      </c>
      <c r="D29">
        <v>118</v>
      </c>
      <c r="E29">
        <v>71</v>
      </c>
      <c r="F29">
        <v>68</v>
      </c>
      <c r="G29">
        <v>120</v>
      </c>
      <c r="H29">
        <v>74</v>
      </c>
      <c r="I29">
        <v>51</v>
      </c>
      <c r="J29">
        <v>51</v>
      </c>
      <c r="K29">
        <v>98</v>
      </c>
      <c r="L29">
        <v>106</v>
      </c>
      <c r="M29">
        <v>61</v>
      </c>
      <c r="N29">
        <v>61</v>
      </c>
      <c r="O29">
        <v>62</v>
      </c>
      <c r="P29">
        <v>109</v>
      </c>
      <c r="Q29">
        <v>53</v>
      </c>
      <c r="R29">
        <v>118</v>
      </c>
      <c r="S29">
        <v>110</v>
      </c>
      <c r="T29">
        <v>64</v>
      </c>
      <c r="U29">
        <v>119</v>
      </c>
      <c r="V29">
        <v>92</v>
      </c>
      <c r="W29">
        <v>79</v>
      </c>
      <c r="X29">
        <v>117</v>
      </c>
      <c r="Y29">
        <v>87</v>
      </c>
      <c r="Z29">
        <v>54</v>
      </c>
      <c r="AA29">
        <v>65</v>
      </c>
      <c r="AB29">
        <v>77</v>
      </c>
      <c r="AC29">
        <v>72</v>
      </c>
      <c r="AD29">
        <v>118</v>
      </c>
      <c r="AE29">
        <v>106</v>
      </c>
      <c r="AF29">
        <v>61</v>
      </c>
      <c r="AG29">
        <v>114</v>
      </c>
    </row>
    <row r="30" spans="1:33" x14ac:dyDescent="0.3">
      <c r="A30" t="str">
        <f>INDEX([1]Sheet1!$E:$E,MATCH(B30,[1]Sheet1!$D:$D,0))</f>
        <v>Part 197 for Xpander</v>
      </c>
      <c r="B30" t="s">
        <v>60</v>
      </c>
      <c r="C30">
        <v>63</v>
      </c>
      <c r="D30">
        <v>110</v>
      </c>
      <c r="E30">
        <v>90</v>
      </c>
      <c r="F30">
        <v>51</v>
      </c>
      <c r="G30">
        <v>91</v>
      </c>
      <c r="H30">
        <v>51</v>
      </c>
      <c r="I30">
        <v>103</v>
      </c>
      <c r="J30">
        <v>110</v>
      </c>
      <c r="K30">
        <v>80</v>
      </c>
      <c r="L30">
        <v>75</v>
      </c>
      <c r="M30">
        <v>57</v>
      </c>
      <c r="N30">
        <v>63</v>
      </c>
      <c r="O30">
        <v>99</v>
      </c>
      <c r="P30">
        <v>108</v>
      </c>
      <c r="Q30">
        <v>77</v>
      </c>
      <c r="R30">
        <v>89</v>
      </c>
      <c r="S30">
        <v>72</v>
      </c>
      <c r="T30">
        <v>54</v>
      </c>
      <c r="U30">
        <v>73</v>
      </c>
      <c r="V30">
        <v>117</v>
      </c>
      <c r="W30">
        <v>60</v>
      </c>
      <c r="X30">
        <v>66</v>
      </c>
      <c r="Y30">
        <v>55</v>
      </c>
      <c r="Z30">
        <v>111</v>
      </c>
      <c r="AA30">
        <v>91</v>
      </c>
      <c r="AB30">
        <v>71</v>
      </c>
      <c r="AC30">
        <v>105</v>
      </c>
      <c r="AD30">
        <v>85</v>
      </c>
      <c r="AE30">
        <v>118</v>
      </c>
      <c r="AF30">
        <v>112</v>
      </c>
      <c r="AG30">
        <v>104</v>
      </c>
    </row>
    <row r="31" spans="1:33" x14ac:dyDescent="0.3">
      <c r="A31" t="str">
        <f>INDEX([1]Sheet1!$E:$E,MATCH(B31,[1]Sheet1!$D:$D,0))</f>
        <v>Part 195 for Avanza</v>
      </c>
      <c r="B31" t="s">
        <v>61</v>
      </c>
      <c r="C31">
        <v>107</v>
      </c>
      <c r="D31">
        <v>110</v>
      </c>
      <c r="E31">
        <v>113</v>
      </c>
      <c r="F31">
        <v>62</v>
      </c>
      <c r="G31">
        <v>84</v>
      </c>
      <c r="H31">
        <v>82</v>
      </c>
      <c r="I31">
        <v>100</v>
      </c>
      <c r="J31">
        <v>50</v>
      </c>
      <c r="K31">
        <v>72</v>
      </c>
      <c r="L31">
        <v>82</v>
      </c>
      <c r="M31">
        <v>53</v>
      </c>
      <c r="N31">
        <v>95</v>
      </c>
      <c r="O31">
        <v>98</v>
      </c>
      <c r="P31">
        <v>94</v>
      </c>
      <c r="Q31">
        <v>71</v>
      </c>
      <c r="R31">
        <v>85</v>
      </c>
      <c r="S31">
        <v>88</v>
      </c>
      <c r="T31">
        <v>118</v>
      </c>
      <c r="U31">
        <v>102</v>
      </c>
      <c r="V31">
        <v>68</v>
      </c>
      <c r="W31">
        <v>107</v>
      </c>
      <c r="X31">
        <v>99</v>
      </c>
      <c r="Y31">
        <v>95</v>
      </c>
      <c r="Z31">
        <v>63</v>
      </c>
      <c r="AA31">
        <v>80</v>
      </c>
      <c r="AB31">
        <v>105</v>
      </c>
      <c r="AC31">
        <v>62</v>
      </c>
      <c r="AD31">
        <v>90</v>
      </c>
      <c r="AE31">
        <v>50</v>
      </c>
      <c r="AF31">
        <v>103</v>
      </c>
      <c r="AG31">
        <v>68</v>
      </c>
    </row>
    <row r="32" spans="1:33" x14ac:dyDescent="0.3">
      <c r="A32" t="str">
        <f>INDEX([1]Sheet1!$E:$E,MATCH(B32,[1]Sheet1!$D:$D,0))</f>
        <v>Part 70 for Terios</v>
      </c>
      <c r="B32" t="s">
        <v>62</v>
      </c>
      <c r="C32">
        <v>82</v>
      </c>
      <c r="D32">
        <v>62</v>
      </c>
      <c r="E32">
        <v>116</v>
      </c>
      <c r="F32">
        <v>117</v>
      </c>
      <c r="G32">
        <v>114</v>
      </c>
      <c r="H32">
        <v>88</v>
      </c>
      <c r="I32">
        <v>91</v>
      </c>
      <c r="J32">
        <v>54</v>
      </c>
      <c r="K32">
        <v>61</v>
      </c>
      <c r="L32">
        <v>88</v>
      </c>
      <c r="M32">
        <v>115</v>
      </c>
      <c r="N32">
        <v>115</v>
      </c>
      <c r="O32">
        <v>61</v>
      </c>
      <c r="P32">
        <v>108</v>
      </c>
      <c r="Q32">
        <v>78</v>
      </c>
      <c r="R32">
        <v>95</v>
      </c>
      <c r="S32">
        <v>92</v>
      </c>
      <c r="T32">
        <v>104</v>
      </c>
      <c r="U32">
        <v>115</v>
      </c>
      <c r="V32">
        <v>117</v>
      </c>
      <c r="W32">
        <v>118</v>
      </c>
      <c r="X32">
        <v>93</v>
      </c>
      <c r="Y32">
        <v>92</v>
      </c>
      <c r="Z32">
        <v>62</v>
      </c>
      <c r="AA32">
        <v>81</v>
      </c>
      <c r="AB32">
        <v>97</v>
      </c>
      <c r="AC32">
        <v>90</v>
      </c>
      <c r="AD32">
        <v>54</v>
      </c>
      <c r="AE32">
        <v>117</v>
      </c>
      <c r="AF32">
        <v>96</v>
      </c>
      <c r="AG32">
        <v>107</v>
      </c>
    </row>
    <row r="33" spans="1:33" x14ac:dyDescent="0.3">
      <c r="A33" t="str">
        <f>INDEX([1]Sheet1!$E:$E,MATCH(B33,[1]Sheet1!$D:$D,0))</f>
        <v>Part 111 for Xenia</v>
      </c>
      <c r="B33" t="s">
        <v>63</v>
      </c>
      <c r="C33">
        <v>88</v>
      </c>
      <c r="D33">
        <v>120</v>
      </c>
      <c r="E33">
        <v>72</v>
      </c>
      <c r="F33">
        <v>108</v>
      </c>
      <c r="G33">
        <v>57</v>
      </c>
      <c r="H33">
        <v>52</v>
      </c>
      <c r="I33">
        <v>75</v>
      </c>
      <c r="J33">
        <v>92</v>
      </c>
      <c r="K33">
        <v>65</v>
      </c>
      <c r="L33">
        <v>70</v>
      </c>
      <c r="M33">
        <v>107</v>
      </c>
      <c r="N33">
        <v>114</v>
      </c>
      <c r="O33">
        <v>110</v>
      </c>
      <c r="P33">
        <v>120</v>
      </c>
      <c r="Q33">
        <v>66</v>
      </c>
      <c r="R33">
        <v>64</v>
      </c>
      <c r="S33">
        <v>80</v>
      </c>
      <c r="T33">
        <v>59</v>
      </c>
      <c r="U33">
        <v>94</v>
      </c>
      <c r="V33">
        <v>114</v>
      </c>
      <c r="W33">
        <v>78</v>
      </c>
      <c r="X33">
        <v>69</v>
      </c>
      <c r="Y33">
        <v>99</v>
      </c>
      <c r="Z33">
        <v>79</v>
      </c>
      <c r="AA33">
        <v>57</v>
      </c>
      <c r="AB33">
        <v>63</v>
      </c>
      <c r="AC33">
        <v>58</v>
      </c>
      <c r="AD33">
        <v>102</v>
      </c>
      <c r="AE33">
        <v>91</v>
      </c>
      <c r="AF33">
        <v>91</v>
      </c>
      <c r="AG33">
        <v>76</v>
      </c>
    </row>
    <row r="34" spans="1:33" x14ac:dyDescent="0.3">
      <c r="A34" t="str">
        <f>INDEX([1]Sheet1!$E:$E,MATCH(B34,[1]Sheet1!$D:$D,0))</f>
        <v>Part 117 for Rush</v>
      </c>
      <c r="B34" t="s">
        <v>64</v>
      </c>
      <c r="C34">
        <v>66</v>
      </c>
      <c r="D34">
        <v>117</v>
      </c>
      <c r="E34">
        <v>62</v>
      </c>
      <c r="F34">
        <v>76</v>
      </c>
      <c r="G34">
        <v>52</v>
      </c>
      <c r="H34">
        <v>76</v>
      </c>
      <c r="I34">
        <v>52</v>
      </c>
      <c r="J34">
        <v>100</v>
      </c>
      <c r="K34">
        <v>82</v>
      </c>
      <c r="L34">
        <v>72</v>
      </c>
      <c r="M34">
        <v>85</v>
      </c>
      <c r="N34">
        <v>83</v>
      </c>
      <c r="O34">
        <v>117</v>
      </c>
      <c r="P34">
        <v>87</v>
      </c>
      <c r="Q34">
        <v>110</v>
      </c>
      <c r="R34">
        <v>59</v>
      </c>
      <c r="S34">
        <v>60</v>
      </c>
      <c r="T34">
        <v>72</v>
      </c>
      <c r="U34">
        <v>118</v>
      </c>
      <c r="V34">
        <v>111</v>
      </c>
      <c r="W34">
        <v>105</v>
      </c>
      <c r="X34">
        <v>79</v>
      </c>
      <c r="Y34">
        <v>114</v>
      </c>
      <c r="Z34">
        <v>112</v>
      </c>
      <c r="AA34">
        <v>70</v>
      </c>
      <c r="AB34">
        <v>84</v>
      </c>
      <c r="AC34">
        <v>88</v>
      </c>
      <c r="AD34">
        <v>116</v>
      </c>
      <c r="AE34">
        <v>63</v>
      </c>
      <c r="AF34">
        <v>81</v>
      </c>
      <c r="AG34">
        <v>97</v>
      </c>
    </row>
    <row r="35" spans="1:33" x14ac:dyDescent="0.3">
      <c r="A35" t="str">
        <f>INDEX([1]Sheet1!$E:$E,MATCH(B35,[1]Sheet1!$D:$D,0))</f>
        <v>Part 153 for Pajero Sport</v>
      </c>
      <c r="B35" t="s">
        <v>65</v>
      </c>
      <c r="C35">
        <v>82</v>
      </c>
      <c r="D35">
        <v>67</v>
      </c>
      <c r="E35">
        <v>120</v>
      </c>
      <c r="F35">
        <v>79</v>
      </c>
      <c r="G35">
        <v>112</v>
      </c>
      <c r="H35">
        <v>81</v>
      </c>
      <c r="I35">
        <v>90</v>
      </c>
      <c r="J35">
        <v>93</v>
      </c>
      <c r="K35">
        <v>94</v>
      </c>
      <c r="L35">
        <v>64</v>
      </c>
      <c r="M35">
        <v>111</v>
      </c>
      <c r="N35">
        <v>83</v>
      </c>
      <c r="O35">
        <v>90</v>
      </c>
      <c r="P35">
        <v>119</v>
      </c>
      <c r="Q35">
        <v>73</v>
      </c>
      <c r="R35">
        <v>62</v>
      </c>
      <c r="S35">
        <v>71</v>
      </c>
      <c r="T35">
        <v>66</v>
      </c>
      <c r="U35">
        <v>98</v>
      </c>
      <c r="V35">
        <v>97</v>
      </c>
      <c r="W35">
        <v>54</v>
      </c>
      <c r="X35">
        <v>90</v>
      </c>
      <c r="Y35">
        <v>88</v>
      </c>
      <c r="Z35">
        <v>101</v>
      </c>
      <c r="AA35">
        <v>113</v>
      </c>
      <c r="AB35">
        <v>106</v>
      </c>
      <c r="AC35">
        <v>115</v>
      </c>
      <c r="AD35">
        <v>59</v>
      </c>
      <c r="AE35">
        <v>118</v>
      </c>
      <c r="AF35">
        <v>60</v>
      </c>
      <c r="AG35">
        <v>63</v>
      </c>
    </row>
    <row r="36" spans="1:33" x14ac:dyDescent="0.3">
      <c r="A36" t="str">
        <f>INDEX([1]Sheet1!$E:$E,MATCH(B36,[1]Sheet1!$D:$D,0))</f>
        <v>Part 100 for Xenia</v>
      </c>
      <c r="B36" t="s">
        <v>66</v>
      </c>
      <c r="C36">
        <v>73</v>
      </c>
      <c r="D36">
        <v>92</v>
      </c>
      <c r="E36">
        <v>74</v>
      </c>
      <c r="F36">
        <v>106</v>
      </c>
      <c r="G36">
        <v>71</v>
      </c>
      <c r="H36">
        <v>105</v>
      </c>
      <c r="I36">
        <v>50</v>
      </c>
      <c r="J36">
        <v>110</v>
      </c>
      <c r="K36">
        <v>98</v>
      </c>
      <c r="L36">
        <v>115</v>
      </c>
      <c r="M36">
        <v>120</v>
      </c>
      <c r="N36">
        <v>96</v>
      </c>
      <c r="O36">
        <v>88</v>
      </c>
      <c r="P36">
        <v>100</v>
      </c>
      <c r="Q36">
        <v>101</v>
      </c>
      <c r="R36">
        <v>82</v>
      </c>
      <c r="S36">
        <v>105</v>
      </c>
      <c r="T36">
        <v>57</v>
      </c>
      <c r="U36">
        <v>76</v>
      </c>
      <c r="V36">
        <v>62</v>
      </c>
      <c r="W36">
        <v>84</v>
      </c>
      <c r="X36">
        <v>77</v>
      </c>
      <c r="Y36">
        <v>51</v>
      </c>
      <c r="Z36">
        <v>53</v>
      </c>
      <c r="AA36">
        <v>53</v>
      </c>
      <c r="AB36">
        <v>102</v>
      </c>
      <c r="AC36">
        <v>80</v>
      </c>
      <c r="AD36">
        <v>120</v>
      </c>
      <c r="AE36">
        <v>56</v>
      </c>
      <c r="AF36">
        <v>55</v>
      </c>
      <c r="AG36">
        <v>109</v>
      </c>
    </row>
    <row r="37" spans="1:33" x14ac:dyDescent="0.3">
      <c r="A37" t="str">
        <f>INDEX([1]Sheet1!$E:$E,MATCH(B37,[1]Sheet1!$D:$D,0))</f>
        <v>Part 53 for Triton</v>
      </c>
      <c r="B37" t="s">
        <v>67</v>
      </c>
      <c r="C37">
        <v>53</v>
      </c>
      <c r="D37">
        <v>78</v>
      </c>
      <c r="E37">
        <v>84</v>
      </c>
      <c r="F37">
        <v>94</v>
      </c>
      <c r="G37">
        <v>50</v>
      </c>
      <c r="H37">
        <v>95</v>
      </c>
      <c r="I37">
        <v>58</v>
      </c>
      <c r="J37">
        <v>119</v>
      </c>
      <c r="K37">
        <v>95</v>
      </c>
      <c r="L37">
        <v>91</v>
      </c>
      <c r="M37">
        <v>91</v>
      </c>
      <c r="N37">
        <v>92</v>
      </c>
      <c r="O37">
        <v>98</v>
      </c>
      <c r="P37">
        <v>81</v>
      </c>
      <c r="Q37">
        <v>66</v>
      </c>
      <c r="R37">
        <v>65</v>
      </c>
      <c r="S37">
        <v>109</v>
      </c>
      <c r="T37">
        <v>50</v>
      </c>
      <c r="U37">
        <v>85</v>
      </c>
      <c r="V37">
        <v>74</v>
      </c>
      <c r="W37">
        <v>59</v>
      </c>
      <c r="X37">
        <v>100</v>
      </c>
      <c r="Y37">
        <v>101</v>
      </c>
      <c r="Z37">
        <v>62</v>
      </c>
      <c r="AA37">
        <v>72</v>
      </c>
      <c r="AB37">
        <v>79</v>
      </c>
      <c r="AC37">
        <v>109</v>
      </c>
      <c r="AD37">
        <v>90</v>
      </c>
      <c r="AE37">
        <v>72</v>
      </c>
      <c r="AF37">
        <v>66</v>
      </c>
      <c r="AG37">
        <v>92</v>
      </c>
    </row>
    <row r="38" spans="1:33" x14ac:dyDescent="0.3">
      <c r="A38" t="str">
        <f>INDEX([1]Sheet1!$E:$E,MATCH(B38,[1]Sheet1!$D:$D,0))</f>
        <v>Part 93 for Vios</v>
      </c>
      <c r="B38" t="s">
        <v>68</v>
      </c>
      <c r="C38">
        <v>98</v>
      </c>
      <c r="D38">
        <v>55</v>
      </c>
      <c r="E38">
        <v>94</v>
      </c>
      <c r="F38">
        <v>108</v>
      </c>
      <c r="G38">
        <v>51</v>
      </c>
      <c r="H38">
        <v>84</v>
      </c>
      <c r="I38">
        <v>105</v>
      </c>
      <c r="J38">
        <v>51</v>
      </c>
      <c r="K38">
        <v>81</v>
      </c>
      <c r="L38">
        <v>89</v>
      </c>
      <c r="M38">
        <v>57</v>
      </c>
      <c r="N38">
        <v>61</v>
      </c>
      <c r="O38">
        <v>107</v>
      </c>
      <c r="P38">
        <v>102</v>
      </c>
      <c r="Q38">
        <v>97</v>
      </c>
      <c r="R38">
        <v>50</v>
      </c>
      <c r="S38">
        <v>69</v>
      </c>
      <c r="T38">
        <v>65</v>
      </c>
      <c r="U38">
        <v>62</v>
      </c>
      <c r="V38">
        <v>83</v>
      </c>
      <c r="W38">
        <v>97</v>
      </c>
      <c r="X38">
        <v>117</v>
      </c>
      <c r="Y38">
        <v>68</v>
      </c>
      <c r="Z38">
        <v>73</v>
      </c>
      <c r="AA38">
        <v>111</v>
      </c>
      <c r="AB38">
        <v>64</v>
      </c>
      <c r="AC38">
        <v>107</v>
      </c>
      <c r="AD38">
        <v>85</v>
      </c>
      <c r="AE38">
        <v>118</v>
      </c>
      <c r="AF38">
        <v>112</v>
      </c>
      <c r="AG38">
        <v>75</v>
      </c>
    </row>
    <row r="39" spans="1:33" x14ac:dyDescent="0.3">
      <c r="A39" t="str">
        <f>INDEX([1]Sheet1!$E:$E,MATCH(B39,[1]Sheet1!$D:$D,0))</f>
        <v>Part 88 for Sigra</v>
      </c>
      <c r="B39" t="s">
        <v>58</v>
      </c>
      <c r="C39">
        <v>120</v>
      </c>
      <c r="D39">
        <v>57</v>
      </c>
      <c r="E39">
        <v>68</v>
      </c>
      <c r="F39">
        <v>82</v>
      </c>
      <c r="G39">
        <v>68</v>
      </c>
      <c r="H39">
        <v>65</v>
      </c>
      <c r="I39">
        <v>86</v>
      </c>
      <c r="J39">
        <v>97</v>
      </c>
      <c r="K39">
        <v>80</v>
      </c>
      <c r="L39">
        <v>86</v>
      </c>
      <c r="M39">
        <v>94</v>
      </c>
      <c r="N39">
        <v>85</v>
      </c>
      <c r="O39">
        <v>58</v>
      </c>
      <c r="P39">
        <v>75</v>
      </c>
      <c r="Q39">
        <v>105</v>
      </c>
      <c r="R39">
        <v>106</v>
      </c>
      <c r="S39">
        <v>52</v>
      </c>
      <c r="T39">
        <v>62</v>
      </c>
      <c r="U39">
        <v>53</v>
      </c>
      <c r="V39">
        <v>76</v>
      </c>
      <c r="W39">
        <v>83</v>
      </c>
      <c r="X39">
        <v>97</v>
      </c>
      <c r="Y39">
        <v>92</v>
      </c>
      <c r="Z39">
        <v>82</v>
      </c>
      <c r="AA39">
        <v>113</v>
      </c>
      <c r="AB39">
        <v>85</v>
      </c>
      <c r="AC39">
        <v>76</v>
      </c>
      <c r="AD39">
        <v>82</v>
      </c>
      <c r="AE39">
        <v>102</v>
      </c>
      <c r="AF39">
        <v>120</v>
      </c>
      <c r="AG39">
        <v>62</v>
      </c>
    </row>
    <row r="40" spans="1:33" x14ac:dyDescent="0.3">
      <c r="A40" t="str">
        <f>INDEX([1]Sheet1!$E:$E,MATCH(B40,[1]Sheet1!$D:$D,0))</f>
        <v>Part 26 for Ayla</v>
      </c>
      <c r="B40" t="s">
        <v>69</v>
      </c>
      <c r="C40">
        <v>84</v>
      </c>
      <c r="D40">
        <v>105</v>
      </c>
      <c r="E40">
        <v>57</v>
      </c>
      <c r="F40">
        <v>86</v>
      </c>
      <c r="G40">
        <v>76</v>
      </c>
      <c r="H40">
        <v>100</v>
      </c>
      <c r="I40">
        <v>71</v>
      </c>
      <c r="J40">
        <v>75</v>
      </c>
      <c r="K40">
        <v>82</v>
      </c>
      <c r="L40">
        <v>80</v>
      </c>
      <c r="M40">
        <v>89</v>
      </c>
      <c r="N40">
        <v>96</v>
      </c>
      <c r="O40">
        <v>60</v>
      </c>
      <c r="P40">
        <v>106</v>
      </c>
      <c r="Q40">
        <v>62</v>
      </c>
      <c r="R40">
        <v>60</v>
      </c>
      <c r="S40">
        <v>107</v>
      </c>
      <c r="T40">
        <v>83</v>
      </c>
      <c r="U40">
        <v>78</v>
      </c>
      <c r="V40">
        <v>93</v>
      </c>
      <c r="W40">
        <v>113</v>
      </c>
      <c r="X40">
        <v>105</v>
      </c>
      <c r="Y40">
        <v>97</v>
      </c>
      <c r="Z40">
        <v>109</v>
      </c>
      <c r="AA40">
        <v>73</v>
      </c>
      <c r="AB40">
        <v>60</v>
      </c>
      <c r="AC40">
        <v>61</v>
      </c>
      <c r="AD40">
        <v>97</v>
      </c>
      <c r="AE40">
        <v>101</v>
      </c>
      <c r="AF40">
        <v>90</v>
      </c>
      <c r="AG40">
        <v>113</v>
      </c>
    </row>
    <row r="41" spans="1:33" x14ac:dyDescent="0.3">
      <c r="A41" t="str">
        <f>INDEX([1]Sheet1!$E:$E,MATCH(B41,[1]Sheet1!$D:$D,0))</f>
        <v>Part 160 for Triton</v>
      </c>
      <c r="B41" t="s">
        <v>70</v>
      </c>
      <c r="C41">
        <v>65</v>
      </c>
      <c r="D41">
        <v>51</v>
      </c>
      <c r="E41">
        <v>86</v>
      </c>
      <c r="F41">
        <v>106</v>
      </c>
      <c r="G41">
        <v>105</v>
      </c>
      <c r="H41">
        <v>67</v>
      </c>
      <c r="I41">
        <v>113</v>
      </c>
      <c r="J41">
        <v>80</v>
      </c>
      <c r="K41">
        <v>81</v>
      </c>
      <c r="L41">
        <v>120</v>
      </c>
      <c r="M41">
        <v>79</v>
      </c>
      <c r="N41">
        <v>67</v>
      </c>
      <c r="O41">
        <v>61</v>
      </c>
      <c r="P41">
        <v>107</v>
      </c>
      <c r="Q41">
        <v>55</v>
      </c>
      <c r="R41">
        <v>72</v>
      </c>
      <c r="S41">
        <v>95</v>
      </c>
      <c r="T41">
        <v>118</v>
      </c>
      <c r="U41">
        <v>119</v>
      </c>
      <c r="V41">
        <v>65</v>
      </c>
      <c r="W41">
        <v>111</v>
      </c>
      <c r="X41">
        <v>101</v>
      </c>
      <c r="Y41">
        <v>50</v>
      </c>
      <c r="Z41">
        <v>96</v>
      </c>
      <c r="AA41">
        <v>54</v>
      </c>
      <c r="AB41">
        <v>74</v>
      </c>
      <c r="AC41">
        <v>84</v>
      </c>
      <c r="AD41">
        <v>110</v>
      </c>
      <c r="AE41">
        <v>91</v>
      </c>
      <c r="AF41">
        <v>78</v>
      </c>
      <c r="AG41">
        <v>102</v>
      </c>
    </row>
    <row r="42" spans="1:33" x14ac:dyDescent="0.3">
      <c r="A42" t="str">
        <f>INDEX([1]Sheet1!$E:$E,MATCH(B42,[1]Sheet1!$D:$D,0))</f>
        <v>Part 38 for Xenia</v>
      </c>
      <c r="B42" t="s">
        <v>71</v>
      </c>
      <c r="C42">
        <v>73</v>
      </c>
      <c r="D42">
        <v>59</v>
      </c>
      <c r="E42">
        <v>59</v>
      </c>
      <c r="F42">
        <v>54</v>
      </c>
      <c r="G42">
        <v>108</v>
      </c>
      <c r="H42">
        <v>69</v>
      </c>
      <c r="I42">
        <v>92</v>
      </c>
      <c r="J42">
        <v>75</v>
      </c>
      <c r="K42">
        <v>64</v>
      </c>
      <c r="L42">
        <v>64</v>
      </c>
      <c r="M42">
        <v>74</v>
      </c>
      <c r="N42">
        <v>74</v>
      </c>
      <c r="O42">
        <v>59</v>
      </c>
      <c r="P42">
        <v>90</v>
      </c>
      <c r="Q42">
        <v>72</v>
      </c>
      <c r="R42">
        <v>57</v>
      </c>
      <c r="S42">
        <v>111</v>
      </c>
      <c r="T42">
        <v>65</v>
      </c>
      <c r="U42">
        <v>96</v>
      </c>
      <c r="V42">
        <v>106</v>
      </c>
      <c r="W42">
        <v>55</v>
      </c>
      <c r="X42">
        <v>93</v>
      </c>
      <c r="Y42">
        <v>105</v>
      </c>
      <c r="Z42">
        <v>105</v>
      </c>
      <c r="AA42">
        <v>93</v>
      </c>
      <c r="AB42">
        <v>72</v>
      </c>
      <c r="AC42">
        <v>108</v>
      </c>
      <c r="AD42">
        <v>117</v>
      </c>
      <c r="AE42">
        <v>54</v>
      </c>
      <c r="AF42">
        <v>78</v>
      </c>
      <c r="AG42">
        <v>91</v>
      </c>
    </row>
    <row r="43" spans="1:33" x14ac:dyDescent="0.3">
      <c r="A43" t="str">
        <f>INDEX([1]Sheet1!$E:$E,MATCH(B43,[1]Sheet1!$D:$D,0))</f>
        <v>Part 133 for Xpander</v>
      </c>
      <c r="B43" t="s">
        <v>72</v>
      </c>
      <c r="C43">
        <v>120</v>
      </c>
      <c r="D43">
        <v>70</v>
      </c>
      <c r="E43">
        <v>63</v>
      </c>
      <c r="F43">
        <v>112</v>
      </c>
      <c r="G43">
        <v>69</v>
      </c>
      <c r="H43">
        <v>108</v>
      </c>
      <c r="I43">
        <v>63</v>
      </c>
      <c r="J43">
        <v>66</v>
      </c>
      <c r="K43">
        <v>103</v>
      </c>
      <c r="L43">
        <v>117</v>
      </c>
      <c r="M43">
        <v>104</v>
      </c>
      <c r="N43">
        <v>87</v>
      </c>
      <c r="O43">
        <v>88</v>
      </c>
      <c r="P43">
        <v>70</v>
      </c>
      <c r="Q43">
        <v>77</v>
      </c>
      <c r="R43">
        <v>112</v>
      </c>
      <c r="S43">
        <v>100</v>
      </c>
      <c r="T43">
        <v>89</v>
      </c>
      <c r="U43">
        <v>57</v>
      </c>
      <c r="V43">
        <v>55</v>
      </c>
      <c r="W43">
        <v>90</v>
      </c>
      <c r="X43">
        <v>101</v>
      </c>
      <c r="Y43">
        <v>111</v>
      </c>
      <c r="Z43">
        <v>62</v>
      </c>
      <c r="AA43">
        <v>59</v>
      </c>
      <c r="AB43">
        <v>70</v>
      </c>
      <c r="AC43">
        <v>94</v>
      </c>
      <c r="AD43">
        <v>117</v>
      </c>
      <c r="AE43">
        <v>55</v>
      </c>
      <c r="AF43">
        <v>62</v>
      </c>
      <c r="AG43">
        <v>67</v>
      </c>
    </row>
    <row r="44" spans="1:33" x14ac:dyDescent="0.3">
      <c r="A44" t="str">
        <f>INDEX([1]Sheet1!$E:$E,MATCH(B44,[1]Sheet1!$D:$D,0))</f>
        <v>Part 140 for Xpander</v>
      </c>
      <c r="B44" t="s">
        <v>73</v>
      </c>
      <c r="C44">
        <v>118</v>
      </c>
      <c r="D44">
        <v>111</v>
      </c>
      <c r="E44">
        <v>107</v>
      </c>
      <c r="F44">
        <v>87</v>
      </c>
      <c r="G44">
        <v>120</v>
      </c>
      <c r="H44">
        <v>98</v>
      </c>
      <c r="I44">
        <v>63</v>
      </c>
      <c r="J44">
        <v>99</v>
      </c>
      <c r="K44">
        <v>70</v>
      </c>
      <c r="L44">
        <v>71</v>
      </c>
      <c r="M44">
        <v>88</v>
      </c>
      <c r="N44">
        <v>104</v>
      </c>
      <c r="O44">
        <v>93</v>
      </c>
      <c r="P44">
        <v>72</v>
      </c>
      <c r="Q44">
        <v>83</v>
      </c>
      <c r="R44">
        <v>101</v>
      </c>
      <c r="S44">
        <v>66</v>
      </c>
      <c r="T44">
        <v>53</v>
      </c>
      <c r="U44">
        <v>51</v>
      </c>
      <c r="V44">
        <v>55</v>
      </c>
      <c r="W44">
        <v>104</v>
      </c>
      <c r="X44">
        <v>98</v>
      </c>
      <c r="Y44">
        <v>93</v>
      </c>
      <c r="Z44">
        <v>88</v>
      </c>
      <c r="AA44">
        <v>102</v>
      </c>
      <c r="AB44">
        <v>69</v>
      </c>
      <c r="AC44">
        <v>78</v>
      </c>
      <c r="AD44">
        <v>106</v>
      </c>
      <c r="AE44">
        <v>54</v>
      </c>
      <c r="AF44">
        <v>98</v>
      </c>
      <c r="AG44">
        <v>117</v>
      </c>
    </row>
    <row r="45" spans="1:33" x14ac:dyDescent="0.3">
      <c r="A45" t="str">
        <f>INDEX([1]Sheet1!$E:$E,MATCH(B45,[1]Sheet1!$D:$D,0))</f>
        <v>Part 88 for Sigra</v>
      </c>
      <c r="B45" t="s">
        <v>58</v>
      </c>
      <c r="C45">
        <v>100</v>
      </c>
      <c r="D45">
        <v>106</v>
      </c>
      <c r="E45">
        <v>68</v>
      </c>
      <c r="F45">
        <v>98</v>
      </c>
      <c r="G45">
        <v>92</v>
      </c>
      <c r="H45">
        <v>116</v>
      </c>
      <c r="I45">
        <v>85</v>
      </c>
      <c r="J45">
        <v>77</v>
      </c>
      <c r="K45">
        <v>99</v>
      </c>
      <c r="L45">
        <v>90</v>
      </c>
      <c r="M45">
        <v>79</v>
      </c>
      <c r="N45">
        <v>111</v>
      </c>
      <c r="O45">
        <v>52</v>
      </c>
      <c r="P45">
        <v>85</v>
      </c>
      <c r="Q45">
        <v>104</v>
      </c>
      <c r="R45">
        <v>76</v>
      </c>
      <c r="S45">
        <v>86</v>
      </c>
      <c r="T45">
        <v>70</v>
      </c>
      <c r="U45">
        <v>51</v>
      </c>
      <c r="V45">
        <v>95</v>
      </c>
      <c r="W45">
        <v>72</v>
      </c>
      <c r="X45">
        <v>65</v>
      </c>
      <c r="Y45">
        <v>96</v>
      </c>
      <c r="Z45">
        <v>73</v>
      </c>
      <c r="AA45">
        <v>114</v>
      </c>
      <c r="AB45">
        <v>106</v>
      </c>
      <c r="AC45">
        <v>116</v>
      </c>
      <c r="AD45">
        <v>116</v>
      </c>
      <c r="AE45">
        <v>105</v>
      </c>
      <c r="AF45">
        <v>52</v>
      </c>
      <c r="AG45">
        <v>79</v>
      </c>
    </row>
    <row r="46" spans="1:33" x14ac:dyDescent="0.3">
      <c r="A46" t="str">
        <f>INDEX([1]Sheet1!$E:$E,MATCH(B46,[1]Sheet1!$D:$D,0))</f>
        <v>Part 56 for Pajero Sport</v>
      </c>
      <c r="B46" t="s">
        <v>74</v>
      </c>
      <c r="C46">
        <v>57</v>
      </c>
      <c r="D46">
        <v>71</v>
      </c>
      <c r="E46">
        <v>109</v>
      </c>
      <c r="F46">
        <v>108</v>
      </c>
      <c r="G46">
        <v>53</v>
      </c>
      <c r="H46">
        <v>64</v>
      </c>
      <c r="I46">
        <v>73</v>
      </c>
      <c r="J46">
        <v>72</v>
      </c>
      <c r="K46">
        <v>70</v>
      </c>
      <c r="L46">
        <v>75</v>
      </c>
      <c r="M46">
        <v>111</v>
      </c>
      <c r="N46">
        <v>92</v>
      </c>
      <c r="O46">
        <v>117</v>
      </c>
      <c r="P46">
        <v>115</v>
      </c>
      <c r="Q46">
        <v>112</v>
      </c>
      <c r="R46">
        <v>100</v>
      </c>
      <c r="S46">
        <v>58</v>
      </c>
      <c r="T46">
        <v>66</v>
      </c>
      <c r="U46">
        <v>56</v>
      </c>
      <c r="V46">
        <v>76</v>
      </c>
      <c r="W46">
        <v>64</v>
      </c>
      <c r="X46">
        <v>77</v>
      </c>
      <c r="Y46">
        <v>67</v>
      </c>
      <c r="Z46">
        <v>64</v>
      </c>
      <c r="AA46">
        <v>99</v>
      </c>
      <c r="AB46">
        <v>60</v>
      </c>
      <c r="AC46">
        <v>105</v>
      </c>
      <c r="AD46">
        <v>116</v>
      </c>
      <c r="AE46">
        <v>87</v>
      </c>
      <c r="AF46">
        <v>53</v>
      </c>
      <c r="AG46">
        <v>120</v>
      </c>
    </row>
    <row r="47" spans="1:33" x14ac:dyDescent="0.3">
      <c r="A47" t="str">
        <f>INDEX([1]Sheet1!$E:$E,MATCH(B47,[1]Sheet1!$D:$D,0))</f>
        <v>Part 150 for Triton</v>
      </c>
      <c r="B47" t="s">
        <v>75</v>
      </c>
      <c r="C47">
        <v>81</v>
      </c>
      <c r="D47">
        <v>94</v>
      </c>
      <c r="E47">
        <v>99</v>
      </c>
      <c r="F47">
        <v>81</v>
      </c>
      <c r="G47">
        <v>108</v>
      </c>
      <c r="H47">
        <v>63</v>
      </c>
      <c r="I47">
        <v>89</v>
      </c>
      <c r="J47">
        <v>106</v>
      </c>
      <c r="K47">
        <v>58</v>
      </c>
      <c r="L47">
        <v>99</v>
      </c>
      <c r="M47">
        <v>50</v>
      </c>
      <c r="N47">
        <v>52</v>
      </c>
      <c r="O47">
        <v>104</v>
      </c>
      <c r="P47">
        <v>88</v>
      </c>
      <c r="Q47">
        <v>80</v>
      </c>
      <c r="R47">
        <v>94</v>
      </c>
      <c r="S47">
        <v>82</v>
      </c>
      <c r="T47">
        <v>71</v>
      </c>
      <c r="U47">
        <v>93</v>
      </c>
      <c r="V47">
        <v>120</v>
      </c>
      <c r="W47">
        <v>102</v>
      </c>
      <c r="X47">
        <v>108</v>
      </c>
      <c r="Y47">
        <v>105</v>
      </c>
      <c r="Z47">
        <v>74</v>
      </c>
      <c r="AA47">
        <v>108</v>
      </c>
      <c r="AB47">
        <v>95</v>
      </c>
      <c r="AC47">
        <v>50</v>
      </c>
      <c r="AD47">
        <v>50</v>
      </c>
      <c r="AE47">
        <v>115</v>
      </c>
      <c r="AF47">
        <v>71</v>
      </c>
      <c r="AG47">
        <v>73</v>
      </c>
    </row>
    <row r="48" spans="1:33" x14ac:dyDescent="0.3">
      <c r="A48" t="str">
        <f>INDEX([1]Sheet1!$E:$E,MATCH(B48,[1]Sheet1!$D:$D,0))</f>
        <v>Part 64 for Xpander</v>
      </c>
      <c r="B48" t="s">
        <v>76</v>
      </c>
      <c r="C48">
        <v>86</v>
      </c>
      <c r="D48">
        <v>63</v>
      </c>
      <c r="E48">
        <v>105</v>
      </c>
      <c r="F48">
        <v>72</v>
      </c>
      <c r="G48">
        <v>103</v>
      </c>
      <c r="H48">
        <v>107</v>
      </c>
      <c r="I48">
        <v>110</v>
      </c>
      <c r="J48">
        <v>109</v>
      </c>
      <c r="K48">
        <v>109</v>
      </c>
      <c r="L48">
        <v>56</v>
      </c>
      <c r="M48">
        <v>101</v>
      </c>
      <c r="N48">
        <v>112</v>
      </c>
      <c r="O48">
        <v>104</v>
      </c>
      <c r="P48">
        <v>96</v>
      </c>
      <c r="Q48">
        <v>109</v>
      </c>
      <c r="R48">
        <v>74</v>
      </c>
      <c r="S48">
        <v>59</v>
      </c>
      <c r="T48">
        <v>63</v>
      </c>
      <c r="U48">
        <v>116</v>
      </c>
      <c r="V48">
        <v>93</v>
      </c>
      <c r="W48">
        <v>106</v>
      </c>
      <c r="X48">
        <v>52</v>
      </c>
      <c r="Y48">
        <v>109</v>
      </c>
      <c r="Z48">
        <v>79</v>
      </c>
      <c r="AA48">
        <v>91</v>
      </c>
      <c r="AB48">
        <v>50</v>
      </c>
      <c r="AC48">
        <v>93</v>
      </c>
      <c r="AD48">
        <v>88</v>
      </c>
      <c r="AE48">
        <v>55</v>
      </c>
      <c r="AF48">
        <v>90</v>
      </c>
      <c r="AG48">
        <v>90</v>
      </c>
    </row>
    <row r="49" spans="1:33" x14ac:dyDescent="0.3">
      <c r="A49" t="str">
        <f>INDEX([1]Sheet1!$E:$E,MATCH(B49,[1]Sheet1!$D:$D,0))</f>
        <v>Part 197 for Xpander</v>
      </c>
      <c r="B49" t="s">
        <v>60</v>
      </c>
      <c r="C49">
        <v>60</v>
      </c>
      <c r="D49">
        <v>52</v>
      </c>
      <c r="E49">
        <v>58</v>
      </c>
      <c r="F49">
        <v>81</v>
      </c>
      <c r="G49">
        <v>84</v>
      </c>
      <c r="H49">
        <v>86</v>
      </c>
      <c r="I49">
        <v>50</v>
      </c>
      <c r="J49">
        <v>96</v>
      </c>
      <c r="K49">
        <v>70</v>
      </c>
      <c r="L49">
        <v>109</v>
      </c>
      <c r="M49">
        <v>57</v>
      </c>
      <c r="N49">
        <v>73</v>
      </c>
      <c r="O49">
        <v>58</v>
      </c>
      <c r="P49">
        <v>111</v>
      </c>
      <c r="Q49">
        <v>57</v>
      </c>
      <c r="R49">
        <v>50</v>
      </c>
      <c r="S49">
        <v>108</v>
      </c>
      <c r="T49">
        <v>88</v>
      </c>
      <c r="U49">
        <v>113</v>
      </c>
      <c r="V49">
        <v>112</v>
      </c>
      <c r="W49">
        <v>56</v>
      </c>
      <c r="X49">
        <v>90</v>
      </c>
      <c r="Y49">
        <v>111</v>
      </c>
      <c r="Z49">
        <v>76</v>
      </c>
      <c r="AA49">
        <v>119</v>
      </c>
      <c r="AB49">
        <v>68</v>
      </c>
      <c r="AC49">
        <v>117</v>
      </c>
      <c r="AD49">
        <v>85</v>
      </c>
      <c r="AE49">
        <v>54</v>
      </c>
      <c r="AF49">
        <v>75</v>
      </c>
      <c r="AG49">
        <v>93</v>
      </c>
    </row>
    <row r="50" spans="1:33" x14ac:dyDescent="0.3">
      <c r="A50" t="str">
        <f>INDEX([1]Sheet1!$E:$E,MATCH(B50,[1]Sheet1!$D:$D,0))</f>
        <v>Part 46 for Terios</v>
      </c>
      <c r="B50" t="s">
        <v>77</v>
      </c>
      <c r="C50">
        <v>97</v>
      </c>
      <c r="D50">
        <v>113</v>
      </c>
      <c r="E50">
        <v>103</v>
      </c>
      <c r="F50">
        <v>54</v>
      </c>
      <c r="G50">
        <v>96</v>
      </c>
      <c r="H50">
        <v>83</v>
      </c>
      <c r="I50">
        <v>78</v>
      </c>
      <c r="J50">
        <v>70</v>
      </c>
      <c r="K50">
        <v>71</v>
      </c>
      <c r="L50">
        <v>83</v>
      </c>
      <c r="M50">
        <v>75</v>
      </c>
      <c r="N50">
        <v>92</v>
      </c>
      <c r="O50">
        <v>87</v>
      </c>
      <c r="P50">
        <v>59</v>
      </c>
      <c r="Q50">
        <v>111</v>
      </c>
      <c r="R50">
        <v>82</v>
      </c>
      <c r="S50">
        <v>111</v>
      </c>
      <c r="T50">
        <v>67</v>
      </c>
      <c r="U50">
        <v>72</v>
      </c>
      <c r="V50">
        <v>72</v>
      </c>
      <c r="W50">
        <v>50</v>
      </c>
      <c r="X50">
        <v>118</v>
      </c>
      <c r="Y50">
        <v>108</v>
      </c>
      <c r="Z50">
        <v>90</v>
      </c>
      <c r="AA50">
        <v>51</v>
      </c>
      <c r="AB50">
        <v>108</v>
      </c>
      <c r="AC50">
        <v>98</v>
      </c>
      <c r="AD50">
        <v>110</v>
      </c>
      <c r="AE50">
        <v>108</v>
      </c>
      <c r="AF50">
        <v>97</v>
      </c>
      <c r="AG50">
        <v>59</v>
      </c>
    </row>
    <row r="51" spans="1:33" x14ac:dyDescent="0.3">
      <c r="A51" t="str">
        <f>INDEX([1]Sheet1!$E:$E,MATCH(B51,[1]Sheet1!$D:$D,0))</f>
        <v>Part 16 for Xenia</v>
      </c>
      <c r="B51" t="s">
        <v>78</v>
      </c>
      <c r="C51">
        <v>71</v>
      </c>
      <c r="D51">
        <v>96</v>
      </c>
      <c r="E51">
        <v>105</v>
      </c>
      <c r="F51">
        <v>50</v>
      </c>
      <c r="G51">
        <v>108</v>
      </c>
      <c r="H51">
        <v>76</v>
      </c>
      <c r="I51">
        <v>107</v>
      </c>
      <c r="J51">
        <v>86</v>
      </c>
      <c r="K51">
        <v>88</v>
      </c>
      <c r="L51">
        <v>54</v>
      </c>
      <c r="M51">
        <v>67</v>
      </c>
      <c r="N51">
        <v>89</v>
      </c>
      <c r="O51">
        <v>57</v>
      </c>
      <c r="P51">
        <v>76</v>
      </c>
      <c r="Q51">
        <v>115</v>
      </c>
      <c r="R51">
        <v>96</v>
      </c>
      <c r="S51">
        <v>93</v>
      </c>
      <c r="T51">
        <v>55</v>
      </c>
      <c r="U51">
        <v>98</v>
      </c>
      <c r="V51">
        <v>76</v>
      </c>
      <c r="W51">
        <v>76</v>
      </c>
      <c r="X51">
        <v>113</v>
      </c>
      <c r="Y51">
        <v>79</v>
      </c>
      <c r="Z51">
        <v>67</v>
      </c>
      <c r="AA51">
        <v>90</v>
      </c>
      <c r="AB51">
        <v>64</v>
      </c>
      <c r="AC51">
        <v>98</v>
      </c>
      <c r="AD51">
        <v>70</v>
      </c>
      <c r="AE51">
        <v>92</v>
      </c>
      <c r="AF51">
        <v>91</v>
      </c>
      <c r="AG51">
        <v>119</v>
      </c>
    </row>
    <row r="52" spans="1:33" x14ac:dyDescent="0.3">
      <c r="A52" t="str">
        <f>INDEX([1]Sheet1!$E:$E,MATCH(B52,[1]Sheet1!$D:$D,0))</f>
        <v>Part 93 for Vios</v>
      </c>
      <c r="B52" t="s">
        <v>68</v>
      </c>
      <c r="C52">
        <v>82</v>
      </c>
      <c r="D52">
        <v>60</v>
      </c>
      <c r="E52">
        <v>78</v>
      </c>
      <c r="F52">
        <v>100</v>
      </c>
      <c r="G52">
        <v>64</v>
      </c>
      <c r="H52">
        <v>83</v>
      </c>
      <c r="I52">
        <v>100</v>
      </c>
      <c r="J52">
        <v>62</v>
      </c>
      <c r="K52">
        <v>118</v>
      </c>
      <c r="L52">
        <v>101</v>
      </c>
      <c r="M52">
        <v>93</v>
      </c>
      <c r="N52">
        <v>118</v>
      </c>
      <c r="O52">
        <v>90</v>
      </c>
      <c r="P52">
        <v>66</v>
      </c>
      <c r="Q52">
        <v>79</v>
      </c>
      <c r="R52">
        <v>91</v>
      </c>
      <c r="S52">
        <v>91</v>
      </c>
      <c r="T52">
        <v>67</v>
      </c>
      <c r="U52">
        <v>88</v>
      </c>
      <c r="V52">
        <v>91</v>
      </c>
      <c r="W52">
        <v>119</v>
      </c>
      <c r="X52">
        <v>55</v>
      </c>
      <c r="Y52">
        <v>58</v>
      </c>
      <c r="Z52">
        <v>98</v>
      </c>
      <c r="AA52">
        <v>115</v>
      </c>
      <c r="AB52">
        <v>65</v>
      </c>
      <c r="AC52">
        <v>115</v>
      </c>
      <c r="AD52">
        <v>80</v>
      </c>
      <c r="AE52">
        <v>97</v>
      </c>
      <c r="AF52">
        <v>116</v>
      </c>
      <c r="AG52">
        <v>99</v>
      </c>
    </row>
    <row r="53" spans="1:33" x14ac:dyDescent="0.3">
      <c r="A53" t="str">
        <f>INDEX([1]Sheet1!$E:$E,MATCH(B53,[1]Sheet1!$D:$D,0))</f>
        <v>Part 106 for Avanza</v>
      </c>
      <c r="B53" t="s">
        <v>79</v>
      </c>
      <c r="C53">
        <v>69</v>
      </c>
      <c r="D53">
        <v>67</v>
      </c>
      <c r="E53">
        <v>83</v>
      </c>
      <c r="F53">
        <v>70</v>
      </c>
      <c r="G53">
        <v>97</v>
      </c>
      <c r="H53">
        <v>72</v>
      </c>
      <c r="I53">
        <v>73</v>
      </c>
      <c r="J53">
        <v>99</v>
      </c>
      <c r="K53">
        <v>76</v>
      </c>
      <c r="L53">
        <v>76</v>
      </c>
      <c r="M53">
        <v>80</v>
      </c>
      <c r="N53">
        <v>80</v>
      </c>
      <c r="O53">
        <v>75</v>
      </c>
      <c r="P53">
        <v>106</v>
      </c>
      <c r="Q53">
        <v>111</v>
      </c>
      <c r="R53">
        <v>82</v>
      </c>
      <c r="S53">
        <v>120</v>
      </c>
      <c r="T53">
        <v>108</v>
      </c>
      <c r="U53">
        <v>85</v>
      </c>
      <c r="V53">
        <v>106</v>
      </c>
      <c r="W53">
        <v>55</v>
      </c>
      <c r="X53">
        <v>99</v>
      </c>
      <c r="Y53">
        <v>93</v>
      </c>
      <c r="Z53">
        <v>59</v>
      </c>
      <c r="AA53">
        <v>53</v>
      </c>
      <c r="AB53">
        <v>65</v>
      </c>
      <c r="AC53">
        <v>61</v>
      </c>
      <c r="AD53">
        <v>108</v>
      </c>
      <c r="AE53">
        <v>87</v>
      </c>
      <c r="AF53">
        <v>75</v>
      </c>
      <c r="AG53">
        <v>96</v>
      </c>
    </row>
    <row r="54" spans="1:33" x14ac:dyDescent="0.3">
      <c r="A54" t="str">
        <f>INDEX([1]Sheet1!$E:$E,MATCH(B54,[1]Sheet1!$D:$D,0))</f>
        <v>Part 38 for Xenia</v>
      </c>
      <c r="B54" t="s">
        <v>71</v>
      </c>
      <c r="C54">
        <v>64</v>
      </c>
      <c r="D54">
        <v>109</v>
      </c>
      <c r="E54">
        <v>120</v>
      </c>
      <c r="F54">
        <v>64</v>
      </c>
      <c r="G54">
        <v>111</v>
      </c>
      <c r="H54">
        <v>58</v>
      </c>
      <c r="I54">
        <v>57</v>
      </c>
      <c r="J54">
        <v>99</v>
      </c>
      <c r="K54">
        <v>104</v>
      </c>
      <c r="L54">
        <v>82</v>
      </c>
      <c r="M54">
        <v>104</v>
      </c>
      <c r="N54">
        <v>89</v>
      </c>
      <c r="O54">
        <v>111</v>
      </c>
      <c r="P54">
        <v>85</v>
      </c>
      <c r="Q54">
        <v>70</v>
      </c>
      <c r="R54">
        <v>58</v>
      </c>
      <c r="S54">
        <v>64</v>
      </c>
      <c r="T54">
        <v>102</v>
      </c>
      <c r="U54">
        <v>50</v>
      </c>
      <c r="V54">
        <v>119</v>
      </c>
      <c r="W54">
        <v>109</v>
      </c>
      <c r="X54">
        <v>70</v>
      </c>
      <c r="Y54">
        <v>58</v>
      </c>
      <c r="Z54">
        <v>50</v>
      </c>
      <c r="AA54">
        <v>56</v>
      </c>
      <c r="AB54">
        <v>96</v>
      </c>
      <c r="AC54">
        <v>72</v>
      </c>
      <c r="AD54">
        <v>83</v>
      </c>
      <c r="AE54">
        <v>85</v>
      </c>
      <c r="AF54">
        <v>88</v>
      </c>
      <c r="AG54">
        <v>102</v>
      </c>
    </row>
    <row r="55" spans="1:33" x14ac:dyDescent="0.3">
      <c r="A55" t="str">
        <f>INDEX([1]Sheet1!$E:$E,MATCH(B55,[1]Sheet1!$D:$D,0))</f>
        <v>Part 49 for Fortuner</v>
      </c>
      <c r="B55" t="s">
        <v>80</v>
      </c>
      <c r="C55">
        <v>67</v>
      </c>
      <c r="D55">
        <v>103</v>
      </c>
      <c r="E55">
        <v>75</v>
      </c>
      <c r="F55">
        <v>71</v>
      </c>
      <c r="G55">
        <v>75</v>
      </c>
      <c r="H55">
        <v>64</v>
      </c>
      <c r="I55">
        <v>98</v>
      </c>
      <c r="J55">
        <v>80</v>
      </c>
      <c r="K55">
        <v>67</v>
      </c>
      <c r="L55">
        <v>58</v>
      </c>
      <c r="M55">
        <v>84</v>
      </c>
      <c r="N55">
        <v>69</v>
      </c>
      <c r="O55">
        <v>82</v>
      </c>
      <c r="P55">
        <v>77</v>
      </c>
      <c r="Q55">
        <v>94</v>
      </c>
      <c r="R55">
        <v>108</v>
      </c>
      <c r="S55">
        <v>103</v>
      </c>
      <c r="T55">
        <v>78</v>
      </c>
      <c r="U55">
        <v>71</v>
      </c>
      <c r="V55">
        <v>117</v>
      </c>
      <c r="W55">
        <v>102</v>
      </c>
      <c r="X55">
        <v>73</v>
      </c>
      <c r="Y55">
        <v>119</v>
      </c>
      <c r="Z55">
        <v>67</v>
      </c>
      <c r="AA55">
        <v>81</v>
      </c>
      <c r="AB55">
        <v>56</v>
      </c>
      <c r="AC55">
        <v>111</v>
      </c>
      <c r="AD55">
        <v>54</v>
      </c>
      <c r="AE55">
        <v>117</v>
      </c>
      <c r="AF55">
        <v>91</v>
      </c>
      <c r="AG55">
        <v>95</v>
      </c>
    </row>
    <row r="56" spans="1:33" x14ac:dyDescent="0.3">
      <c r="A56" t="str">
        <f>INDEX([1]Sheet1!$E:$E,MATCH(B56,[1]Sheet1!$D:$D,0))</f>
        <v>Part 159 for Fortuner</v>
      </c>
      <c r="B56" t="s">
        <v>81</v>
      </c>
      <c r="C56">
        <v>100</v>
      </c>
      <c r="D56">
        <v>62</v>
      </c>
      <c r="E56">
        <v>71</v>
      </c>
      <c r="F56">
        <v>84</v>
      </c>
      <c r="G56">
        <v>79</v>
      </c>
      <c r="H56">
        <v>87</v>
      </c>
      <c r="I56">
        <v>106</v>
      </c>
      <c r="J56">
        <v>57</v>
      </c>
      <c r="K56">
        <v>57</v>
      </c>
      <c r="L56">
        <v>59</v>
      </c>
      <c r="M56">
        <v>94</v>
      </c>
      <c r="N56">
        <v>70</v>
      </c>
      <c r="O56">
        <v>52</v>
      </c>
      <c r="P56">
        <v>106</v>
      </c>
      <c r="Q56">
        <v>58</v>
      </c>
      <c r="R56">
        <v>120</v>
      </c>
      <c r="S56">
        <v>52</v>
      </c>
      <c r="T56">
        <v>66</v>
      </c>
      <c r="U56">
        <v>68</v>
      </c>
      <c r="V56">
        <v>75</v>
      </c>
      <c r="W56">
        <v>53</v>
      </c>
      <c r="X56">
        <v>99</v>
      </c>
      <c r="Y56">
        <v>105</v>
      </c>
      <c r="Z56">
        <v>70</v>
      </c>
      <c r="AA56">
        <v>99</v>
      </c>
      <c r="AB56">
        <v>115</v>
      </c>
      <c r="AC56">
        <v>70</v>
      </c>
      <c r="AD56">
        <v>70</v>
      </c>
      <c r="AE56">
        <v>94</v>
      </c>
      <c r="AF56">
        <v>50</v>
      </c>
      <c r="AG56">
        <v>105</v>
      </c>
    </row>
    <row r="57" spans="1:33" x14ac:dyDescent="0.3">
      <c r="A57" t="str">
        <f>INDEX([1]Sheet1!$E:$E,MATCH(B57,[1]Sheet1!$D:$D,0))</f>
        <v>Part 125 for Xenia</v>
      </c>
      <c r="B57" t="s">
        <v>82</v>
      </c>
      <c r="C57">
        <v>71</v>
      </c>
      <c r="D57">
        <v>118</v>
      </c>
      <c r="E57">
        <v>114</v>
      </c>
      <c r="F57">
        <v>87</v>
      </c>
      <c r="G57">
        <v>84</v>
      </c>
      <c r="H57">
        <v>62</v>
      </c>
      <c r="I57">
        <v>77</v>
      </c>
      <c r="J57">
        <v>66</v>
      </c>
      <c r="K57">
        <v>84</v>
      </c>
      <c r="L57">
        <v>50</v>
      </c>
      <c r="M57">
        <v>63</v>
      </c>
      <c r="N57">
        <v>91</v>
      </c>
      <c r="O57">
        <v>103</v>
      </c>
      <c r="P57">
        <v>68</v>
      </c>
      <c r="Q57">
        <v>99</v>
      </c>
      <c r="R57">
        <v>102</v>
      </c>
      <c r="S57">
        <v>80</v>
      </c>
      <c r="T57">
        <v>102</v>
      </c>
      <c r="U57">
        <v>55</v>
      </c>
      <c r="V57">
        <v>74</v>
      </c>
      <c r="W57">
        <v>113</v>
      </c>
      <c r="X57">
        <v>54</v>
      </c>
      <c r="Y57">
        <v>80</v>
      </c>
      <c r="Z57">
        <v>90</v>
      </c>
      <c r="AA57">
        <v>87</v>
      </c>
      <c r="AB57">
        <v>83</v>
      </c>
      <c r="AC57">
        <v>106</v>
      </c>
      <c r="AD57">
        <v>103</v>
      </c>
      <c r="AE57">
        <v>84</v>
      </c>
      <c r="AF57">
        <v>77</v>
      </c>
      <c r="AG57">
        <v>101</v>
      </c>
    </row>
    <row r="58" spans="1:33" x14ac:dyDescent="0.3">
      <c r="A58" t="str">
        <f>INDEX([1]Sheet1!$E:$E,MATCH(B58,[1]Sheet1!$D:$D,0))</f>
        <v>Part 36 for Avanza</v>
      </c>
      <c r="B58" t="s">
        <v>55</v>
      </c>
      <c r="C58">
        <v>57</v>
      </c>
      <c r="D58">
        <v>59</v>
      </c>
      <c r="E58">
        <v>66</v>
      </c>
      <c r="F58">
        <v>54</v>
      </c>
      <c r="G58">
        <v>84</v>
      </c>
      <c r="H58">
        <v>107</v>
      </c>
      <c r="I58">
        <v>50</v>
      </c>
      <c r="J58">
        <v>102</v>
      </c>
      <c r="K58">
        <v>103</v>
      </c>
      <c r="L58">
        <v>102</v>
      </c>
      <c r="M58">
        <v>81</v>
      </c>
      <c r="N58">
        <v>96</v>
      </c>
      <c r="O58">
        <v>66</v>
      </c>
      <c r="P58">
        <v>118</v>
      </c>
      <c r="Q58">
        <v>70</v>
      </c>
      <c r="R58">
        <v>111</v>
      </c>
      <c r="S58">
        <v>103</v>
      </c>
      <c r="T58">
        <v>59</v>
      </c>
      <c r="U58">
        <v>109</v>
      </c>
      <c r="V58">
        <v>109</v>
      </c>
      <c r="W58">
        <v>103</v>
      </c>
      <c r="X58">
        <v>54</v>
      </c>
      <c r="Y58">
        <v>76</v>
      </c>
      <c r="Z58">
        <v>87</v>
      </c>
      <c r="AA58">
        <v>110</v>
      </c>
      <c r="AB58">
        <v>77</v>
      </c>
      <c r="AC58">
        <v>71</v>
      </c>
      <c r="AD58">
        <v>97</v>
      </c>
      <c r="AE58">
        <v>77</v>
      </c>
      <c r="AF58">
        <v>92</v>
      </c>
      <c r="AG58">
        <v>76</v>
      </c>
    </row>
    <row r="59" spans="1:33" x14ac:dyDescent="0.3">
      <c r="A59" t="str">
        <f>INDEX([1]Sheet1!$E:$E,MATCH(B59,[1]Sheet1!$D:$D,0))</f>
        <v>Part 32 for Avanza</v>
      </c>
      <c r="B59" t="s">
        <v>83</v>
      </c>
      <c r="C59">
        <v>104</v>
      </c>
      <c r="D59">
        <v>84</v>
      </c>
      <c r="E59">
        <v>71</v>
      </c>
      <c r="F59">
        <v>73</v>
      </c>
      <c r="G59">
        <v>57</v>
      </c>
      <c r="H59">
        <v>117</v>
      </c>
      <c r="I59">
        <v>94</v>
      </c>
      <c r="J59">
        <v>105</v>
      </c>
      <c r="K59">
        <v>106</v>
      </c>
      <c r="L59">
        <v>97</v>
      </c>
      <c r="M59">
        <v>55</v>
      </c>
      <c r="N59">
        <v>90</v>
      </c>
      <c r="O59">
        <v>62</v>
      </c>
      <c r="P59">
        <v>69</v>
      </c>
      <c r="Q59">
        <v>115</v>
      </c>
      <c r="R59">
        <v>115</v>
      </c>
      <c r="S59">
        <v>53</v>
      </c>
      <c r="T59">
        <v>55</v>
      </c>
      <c r="U59">
        <v>111</v>
      </c>
      <c r="V59">
        <v>110</v>
      </c>
      <c r="W59">
        <v>94</v>
      </c>
      <c r="X59">
        <v>103</v>
      </c>
      <c r="Y59">
        <v>116</v>
      </c>
      <c r="Z59">
        <v>64</v>
      </c>
      <c r="AA59">
        <v>89</v>
      </c>
      <c r="AB59">
        <v>59</v>
      </c>
      <c r="AC59">
        <v>67</v>
      </c>
      <c r="AD59">
        <v>109</v>
      </c>
      <c r="AE59">
        <v>54</v>
      </c>
      <c r="AF59">
        <v>52</v>
      </c>
      <c r="AG59">
        <v>54</v>
      </c>
    </row>
    <row r="60" spans="1:33" x14ac:dyDescent="0.3">
      <c r="A60" t="str">
        <f>INDEX([1]Sheet1!$E:$E,MATCH(B60,[1]Sheet1!$D:$D,0))</f>
        <v>Part 109 for Xpander</v>
      </c>
      <c r="B60" t="s">
        <v>84</v>
      </c>
      <c r="C60">
        <v>105</v>
      </c>
      <c r="D60">
        <v>74</v>
      </c>
      <c r="E60">
        <v>98</v>
      </c>
      <c r="F60">
        <v>64</v>
      </c>
      <c r="G60">
        <v>50</v>
      </c>
      <c r="H60">
        <v>65</v>
      </c>
      <c r="I60">
        <v>93</v>
      </c>
      <c r="J60">
        <v>66</v>
      </c>
      <c r="K60">
        <v>50</v>
      </c>
      <c r="L60">
        <v>101</v>
      </c>
      <c r="M60">
        <v>93</v>
      </c>
      <c r="N60">
        <v>53</v>
      </c>
      <c r="O60">
        <v>61</v>
      </c>
      <c r="P60">
        <v>85</v>
      </c>
      <c r="Q60">
        <v>61</v>
      </c>
      <c r="R60">
        <v>104</v>
      </c>
      <c r="S60">
        <v>104</v>
      </c>
      <c r="T60">
        <v>112</v>
      </c>
      <c r="U60">
        <v>51</v>
      </c>
      <c r="V60">
        <v>107</v>
      </c>
      <c r="W60">
        <v>76</v>
      </c>
      <c r="X60">
        <v>115</v>
      </c>
      <c r="Y60">
        <v>93</v>
      </c>
      <c r="Z60">
        <v>113</v>
      </c>
      <c r="AA60">
        <v>61</v>
      </c>
      <c r="AB60">
        <v>120</v>
      </c>
      <c r="AC60">
        <v>63</v>
      </c>
      <c r="AD60">
        <v>102</v>
      </c>
      <c r="AE60">
        <v>70</v>
      </c>
      <c r="AF60">
        <v>97</v>
      </c>
      <c r="AG60">
        <v>54</v>
      </c>
    </row>
    <row r="61" spans="1:33" x14ac:dyDescent="0.3">
      <c r="A61" t="str">
        <f>INDEX([1]Sheet1!$E:$E,MATCH(B61,[1]Sheet1!$D:$D,0))</f>
        <v>Part 35 for Xpander</v>
      </c>
      <c r="B61" t="s">
        <v>85</v>
      </c>
      <c r="C61">
        <v>59</v>
      </c>
      <c r="D61">
        <v>78</v>
      </c>
      <c r="E61">
        <v>102</v>
      </c>
      <c r="F61">
        <v>108</v>
      </c>
      <c r="G61">
        <v>93</v>
      </c>
      <c r="H61">
        <v>63</v>
      </c>
      <c r="I61">
        <v>91</v>
      </c>
      <c r="J61">
        <v>57</v>
      </c>
      <c r="K61">
        <v>117</v>
      </c>
      <c r="L61">
        <v>62</v>
      </c>
      <c r="M61">
        <v>95</v>
      </c>
      <c r="N61">
        <v>94</v>
      </c>
      <c r="O61">
        <v>93</v>
      </c>
      <c r="P61">
        <v>92</v>
      </c>
      <c r="Q61">
        <v>120</v>
      </c>
      <c r="R61">
        <v>108</v>
      </c>
      <c r="S61">
        <v>118</v>
      </c>
      <c r="T61">
        <v>82</v>
      </c>
      <c r="U61">
        <v>63</v>
      </c>
      <c r="V61">
        <v>84</v>
      </c>
      <c r="W61">
        <v>67</v>
      </c>
      <c r="X61">
        <v>55</v>
      </c>
      <c r="Y61">
        <v>91</v>
      </c>
      <c r="Z61">
        <v>63</v>
      </c>
      <c r="AA61">
        <v>58</v>
      </c>
      <c r="AB61">
        <v>72</v>
      </c>
      <c r="AC61">
        <v>74</v>
      </c>
      <c r="AD61">
        <v>87</v>
      </c>
      <c r="AE61">
        <v>108</v>
      </c>
      <c r="AF61">
        <v>100</v>
      </c>
      <c r="AG61">
        <v>62</v>
      </c>
    </row>
    <row r="62" spans="1:33" x14ac:dyDescent="0.3">
      <c r="A62" t="str">
        <f>INDEX([1]Sheet1!$E:$E,MATCH(B62,[1]Sheet1!$D:$D,0))</f>
        <v>Part 152 for Sigra</v>
      </c>
      <c r="B62" t="s">
        <v>86</v>
      </c>
      <c r="C62">
        <v>105</v>
      </c>
      <c r="D62">
        <v>108</v>
      </c>
      <c r="E62">
        <v>55</v>
      </c>
      <c r="F62">
        <v>97</v>
      </c>
      <c r="G62">
        <v>88</v>
      </c>
      <c r="H62">
        <v>70</v>
      </c>
      <c r="I62">
        <v>83</v>
      </c>
      <c r="J62">
        <v>95</v>
      </c>
      <c r="K62">
        <v>85</v>
      </c>
      <c r="L62">
        <v>119</v>
      </c>
      <c r="M62">
        <v>96</v>
      </c>
      <c r="N62">
        <v>86</v>
      </c>
      <c r="O62">
        <v>102</v>
      </c>
      <c r="P62">
        <v>116</v>
      </c>
      <c r="Q62">
        <v>90</v>
      </c>
      <c r="R62">
        <v>53</v>
      </c>
      <c r="S62">
        <v>63</v>
      </c>
      <c r="T62">
        <v>69</v>
      </c>
      <c r="U62">
        <v>77</v>
      </c>
      <c r="V62">
        <v>104</v>
      </c>
      <c r="W62">
        <v>72</v>
      </c>
      <c r="X62">
        <v>79</v>
      </c>
      <c r="Y62">
        <v>82</v>
      </c>
      <c r="Z62">
        <v>89</v>
      </c>
      <c r="AA62">
        <v>112</v>
      </c>
      <c r="AB62">
        <v>119</v>
      </c>
      <c r="AC62">
        <v>94</v>
      </c>
      <c r="AD62">
        <v>81</v>
      </c>
      <c r="AE62">
        <v>102</v>
      </c>
      <c r="AF62">
        <v>99</v>
      </c>
      <c r="AG62">
        <v>88</v>
      </c>
    </row>
    <row r="63" spans="1:33" x14ac:dyDescent="0.3">
      <c r="A63" t="str">
        <f>INDEX([1]Sheet1!$E:$E,MATCH(B63,[1]Sheet1!$D:$D,0))</f>
        <v>Part 12 for Fortuner</v>
      </c>
      <c r="B63" t="s">
        <v>87</v>
      </c>
      <c r="C63">
        <v>95</v>
      </c>
      <c r="D63">
        <v>91</v>
      </c>
      <c r="E63">
        <v>101</v>
      </c>
      <c r="F63">
        <v>104</v>
      </c>
      <c r="G63">
        <v>120</v>
      </c>
      <c r="H63">
        <v>78</v>
      </c>
      <c r="I63">
        <v>87</v>
      </c>
      <c r="J63">
        <v>96</v>
      </c>
      <c r="K63">
        <v>66</v>
      </c>
      <c r="L63">
        <v>120</v>
      </c>
      <c r="M63">
        <v>108</v>
      </c>
      <c r="N63">
        <v>57</v>
      </c>
      <c r="O63">
        <v>78</v>
      </c>
      <c r="P63">
        <v>94</v>
      </c>
      <c r="Q63">
        <v>75</v>
      </c>
      <c r="R63">
        <v>56</v>
      </c>
      <c r="S63">
        <v>95</v>
      </c>
      <c r="T63">
        <v>66</v>
      </c>
      <c r="U63">
        <v>85</v>
      </c>
      <c r="V63">
        <v>63</v>
      </c>
      <c r="W63">
        <v>106</v>
      </c>
      <c r="X63">
        <v>98</v>
      </c>
      <c r="Y63">
        <v>94</v>
      </c>
      <c r="Z63">
        <v>66</v>
      </c>
      <c r="AA63">
        <v>76</v>
      </c>
      <c r="AB63">
        <v>59</v>
      </c>
      <c r="AC63">
        <v>118</v>
      </c>
      <c r="AD63">
        <v>118</v>
      </c>
      <c r="AE63">
        <v>79</v>
      </c>
      <c r="AF63">
        <v>102</v>
      </c>
      <c r="AG63">
        <v>57</v>
      </c>
    </row>
    <row r="64" spans="1:33" x14ac:dyDescent="0.3">
      <c r="A64" t="str">
        <f>INDEX([1]Sheet1!$E:$E,MATCH(B64,[1]Sheet1!$D:$D,0))</f>
        <v>Part 59 for Terios</v>
      </c>
      <c r="B64" t="s">
        <v>41</v>
      </c>
      <c r="C64">
        <v>93</v>
      </c>
      <c r="D64">
        <v>109</v>
      </c>
      <c r="E64">
        <v>74</v>
      </c>
      <c r="F64">
        <v>59</v>
      </c>
      <c r="G64">
        <v>67</v>
      </c>
      <c r="H64">
        <v>90</v>
      </c>
      <c r="I64">
        <v>109</v>
      </c>
      <c r="J64">
        <v>113</v>
      </c>
      <c r="K64">
        <v>107</v>
      </c>
      <c r="L64">
        <v>112</v>
      </c>
      <c r="M64">
        <v>88</v>
      </c>
      <c r="N64">
        <v>113</v>
      </c>
      <c r="O64">
        <v>113</v>
      </c>
      <c r="P64">
        <v>50</v>
      </c>
      <c r="Q64">
        <v>79</v>
      </c>
      <c r="R64">
        <v>104</v>
      </c>
      <c r="S64">
        <v>51</v>
      </c>
      <c r="T64">
        <v>56</v>
      </c>
      <c r="U64">
        <v>97</v>
      </c>
      <c r="V64">
        <v>50</v>
      </c>
      <c r="W64">
        <v>71</v>
      </c>
      <c r="X64">
        <v>78</v>
      </c>
      <c r="Y64">
        <v>83</v>
      </c>
      <c r="Z64">
        <v>52</v>
      </c>
      <c r="AA64">
        <v>57</v>
      </c>
      <c r="AB64">
        <v>93</v>
      </c>
      <c r="AC64">
        <v>111</v>
      </c>
      <c r="AD64">
        <v>97</v>
      </c>
      <c r="AE64">
        <v>53</v>
      </c>
      <c r="AF64">
        <v>114</v>
      </c>
      <c r="AG64">
        <v>99</v>
      </c>
    </row>
    <row r="65" spans="1:33" x14ac:dyDescent="0.3">
      <c r="A65" t="str">
        <f>INDEX([1]Sheet1!$E:$E,MATCH(B65,[1]Sheet1!$D:$D,0))</f>
        <v>Part 55 for Pajero Sport</v>
      </c>
      <c r="B65" t="s">
        <v>88</v>
      </c>
      <c r="C65">
        <v>114</v>
      </c>
      <c r="D65">
        <v>92</v>
      </c>
      <c r="E65">
        <v>88</v>
      </c>
      <c r="F65">
        <v>115</v>
      </c>
      <c r="G65">
        <v>76</v>
      </c>
      <c r="H65">
        <v>108</v>
      </c>
      <c r="I65">
        <v>113</v>
      </c>
      <c r="J65">
        <v>119</v>
      </c>
      <c r="K65">
        <v>56</v>
      </c>
      <c r="L65">
        <v>93</v>
      </c>
      <c r="M65">
        <v>81</v>
      </c>
      <c r="N65">
        <v>67</v>
      </c>
      <c r="O65">
        <v>50</v>
      </c>
      <c r="P65">
        <v>96</v>
      </c>
      <c r="Q65">
        <v>112</v>
      </c>
      <c r="R65">
        <v>87</v>
      </c>
      <c r="S65">
        <v>50</v>
      </c>
      <c r="T65">
        <v>79</v>
      </c>
      <c r="U65">
        <v>77</v>
      </c>
      <c r="V65">
        <v>104</v>
      </c>
      <c r="W65">
        <v>99</v>
      </c>
      <c r="X65">
        <v>51</v>
      </c>
      <c r="Y65">
        <v>98</v>
      </c>
      <c r="Z65">
        <v>90</v>
      </c>
      <c r="AA65">
        <v>74</v>
      </c>
      <c r="AB65">
        <v>66</v>
      </c>
      <c r="AC65">
        <v>98</v>
      </c>
      <c r="AD65">
        <v>62</v>
      </c>
      <c r="AE65">
        <v>63</v>
      </c>
      <c r="AF65">
        <v>75</v>
      </c>
      <c r="AG65">
        <v>103</v>
      </c>
    </row>
    <row r="66" spans="1:33" x14ac:dyDescent="0.3">
      <c r="A66" t="str">
        <f>INDEX([1]Sheet1!$E:$E,MATCH(B66,[1]Sheet1!$D:$D,0))</f>
        <v>Part 15 for Pajero Sport</v>
      </c>
      <c r="B66" t="s">
        <v>89</v>
      </c>
      <c r="C66">
        <v>63</v>
      </c>
      <c r="D66">
        <v>119</v>
      </c>
      <c r="E66">
        <v>81</v>
      </c>
      <c r="F66">
        <v>55</v>
      </c>
      <c r="G66">
        <v>89</v>
      </c>
      <c r="H66">
        <v>114</v>
      </c>
      <c r="I66">
        <v>58</v>
      </c>
      <c r="J66">
        <v>63</v>
      </c>
      <c r="K66">
        <v>79</v>
      </c>
      <c r="L66">
        <v>94</v>
      </c>
      <c r="M66">
        <v>77</v>
      </c>
      <c r="N66">
        <v>83</v>
      </c>
      <c r="O66">
        <v>103</v>
      </c>
      <c r="P66">
        <v>66</v>
      </c>
      <c r="Q66">
        <v>104</v>
      </c>
      <c r="R66">
        <v>64</v>
      </c>
      <c r="S66">
        <v>88</v>
      </c>
      <c r="T66">
        <v>69</v>
      </c>
      <c r="U66">
        <v>71</v>
      </c>
      <c r="V66">
        <v>89</v>
      </c>
      <c r="W66">
        <v>82</v>
      </c>
      <c r="X66">
        <v>86</v>
      </c>
      <c r="Y66">
        <v>108</v>
      </c>
      <c r="Z66">
        <v>67</v>
      </c>
      <c r="AA66">
        <v>80</v>
      </c>
      <c r="AB66">
        <v>116</v>
      </c>
      <c r="AC66">
        <v>101</v>
      </c>
      <c r="AD66">
        <v>96</v>
      </c>
      <c r="AE66">
        <v>105</v>
      </c>
      <c r="AF66">
        <v>90</v>
      </c>
      <c r="AG66">
        <v>103</v>
      </c>
    </row>
    <row r="67" spans="1:33" x14ac:dyDescent="0.3">
      <c r="A67" t="str">
        <f>INDEX([1]Sheet1!$E:$E,MATCH(B67,[1]Sheet1!$D:$D,0))</f>
        <v>Part 152 for Sigra</v>
      </c>
      <c r="B67" t="s">
        <v>86</v>
      </c>
      <c r="C67">
        <v>64</v>
      </c>
      <c r="D67">
        <v>104</v>
      </c>
      <c r="E67">
        <v>63</v>
      </c>
      <c r="F67">
        <v>103</v>
      </c>
      <c r="G67">
        <v>61</v>
      </c>
      <c r="H67">
        <v>100</v>
      </c>
      <c r="I67">
        <v>76</v>
      </c>
      <c r="J67">
        <v>109</v>
      </c>
      <c r="K67">
        <v>102</v>
      </c>
      <c r="L67">
        <v>115</v>
      </c>
      <c r="M67">
        <v>77</v>
      </c>
      <c r="N67">
        <v>102</v>
      </c>
      <c r="O67">
        <v>110</v>
      </c>
      <c r="P67">
        <v>114</v>
      </c>
      <c r="Q67">
        <v>69</v>
      </c>
      <c r="R67">
        <v>53</v>
      </c>
      <c r="S67">
        <v>116</v>
      </c>
      <c r="T67">
        <v>56</v>
      </c>
      <c r="U67">
        <v>68</v>
      </c>
      <c r="V67">
        <v>52</v>
      </c>
      <c r="W67">
        <v>109</v>
      </c>
      <c r="X67">
        <v>115</v>
      </c>
      <c r="Y67">
        <v>72</v>
      </c>
      <c r="Z67">
        <v>90</v>
      </c>
      <c r="AA67">
        <v>83</v>
      </c>
      <c r="AB67">
        <v>68</v>
      </c>
      <c r="AC67">
        <v>98</v>
      </c>
      <c r="AD67">
        <v>57</v>
      </c>
      <c r="AE67">
        <v>90</v>
      </c>
      <c r="AF67">
        <v>68</v>
      </c>
      <c r="AG67">
        <v>101</v>
      </c>
    </row>
    <row r="68" spans="1:33" x14ac:dyDescent="0.3">
      <c r="A68" t="str">
        <f>INDEX([1]Sheet1!$E:$E,MATCH(B68,[1]Sheet1!$D:$D,0))</f>
        <v>Part 62 for Sigra</v>
      </c>
      <c r="B68" t="s">
        <v>90</v>
      </c>
      <c r="C68">
        <v>65</v>
      </c>
      <c r="D68">
        <v>104</v>
      </c>
      <c r="E68">
        <v>65</v>
      </c>
      <c r="F68">
        <v>58</v>
      </c>
      <c r="G68">
        <v>112</v>
      </c>
      <c r="H68">
        <v>70</v>
      </c>
      <c r="I68">
        <v>71</v>
      </c>
      <c r="J68">
        <v>70</v>
      </c>
      <c r="K68">
        <v>86</v>
      </c>
      <c r="L68">
        <v>116</v>
      </c>
      <c r="M68">
        <v>62</v>
      </c>
      <c r="N68">
        <v>118</v>
      </c>
      <c r="O68">
        <v>117</v>
      </c>
      <c r="P68">
        <v>108</v>
      </c>
      <c r="Q68">
        <v>69</v>
      </c>
      <c r="R68">
        <v>83</v>
      </c>
      <c r="S68">
        <v>114</v>
      </c>
      <c r="T68">
        <v>96</v>
      </c>
      <c r="U68">
        <v>118</v>
      </c>
      <c r="V68">
        <v>70</v>
      </c>
      <c r="W68">
        <v>50</v>
      </c>
      <c r="X68">
        <v>98</v>
      </c>
      <c r="Y68">
        <v>86</v>
      </c>
      <c r="Z68">
        <v>82</v>
      </c>
      <c r="AA68">
        <v>111</v>
      </c>
      <c r="AB68">
        <v>83</v>
      </c>
      <c r="AC68">
        <v>87</v>
      </c>
      <c r="AD68">
        <v>104</v>
      </c>
      <c r="AE68">
        <v>89</v>
      </c>
      <c r="AF68">
        <v>91</v>
      </c>
      <c r="AG68">
        <v>115</v>
      </c>
    </row>
    <row r="69" spans="1:33" x14ac:dyDescent="0.3">
      <c r="A69" t="str">
        <f>INDEX([1]Sheet1!$E:$E,MATCH(B69,[1]Sheet1!$D:$D,0))</f>
        <v>Part 23 for Xenia</v>
      </c>
      <c r="B69" t="s">
        <v>91</v>
      </c>
      <c r="C69">
        <v>74</v>
      </c>
      <c r="D69">
        <v>71</v>
      </c>
      <c r="E69">
        <v>119</v>
      </c>
      <c r="F69">
        <v>69</v>
      </c>
      <c r="G69">
        <v>109</v>
      </c>
      <c r="H69">
        <v>110</v>
      </c>
      <c r="I69">
        <v>68</v>
      </c>
      <c r="J69">
        <v>61</v>
      </c>
      <c r="K69">
        <v>73</v>
      </c>
      <c r="L69">
        <v>96</v>
      </c>
      <c r="M69">
        <v>117</v>
      </c>
      <c r="N69">
        <v>90</v>
      </c>
      <c r="O69">
        <v>107</v>
      </c>
      <c r="P69">
        <v>106</v>
      </c>
      <c r="Q69">
        <v>52</v>
      </c>
      <c r="R69">
        <v>53</v>
      </c>
      <c r="S69">
        <v>65</v>
      </c>
      <c r="T69">
        <v>78</v>
      </c>
      <c r="U69">
        <v>111</v>
      </c>
      <c r="V69">
        <v>95</v>
      </c>
      <c r="W69">
        <v>112</v>
      </c>
      <c r="X69">
        <v>78</v>
      </c>
      <c r="Y69">
        <v>69</v>
      </c>
      <c r="Z69">
        <v>61</v>
      </c>
      <c r="AA69">
        <v>85</v>
      </c>
      <c r="AB69">
        <v>80</v>
      </c>
      <c r="AC69">
        <v>62</v>
      </c>
      <c r="AD69">
        <v>57</v>
      </c>
      <c r="AE69">
        <v>84</v>
      </c>
      <c r="AF69">
        <v>120</v>
      </c>
      <c r="AG69">
        <v>92</v>
      </c>
    </row>
    <row r="70" spans="1:33" x14ac:dyDescent="0.3">
      <c r="A70" t="str">
        <f>INDEX([1]Sheet1!$E:$E,MATCH(B70,[1]Sheet1!$D:$D,0))</f>
        <v>Part 3 for Yaris</v>
      </c>
      <c r="B70" t="s">
        <v>92</v>
      </c>
      <c r="C70">
        <v>68</v>
      </c>
      <c r="D70">
        <v>58</v>
      </c>
      <c r="E70">
        <v>75</v>
      </c>
      <c r="F70">
        <v>74</v>
      </c>
      <c r="G70">
        <v>115</v>
      </c>
      <c r="H70">
        <v>114</v>
      </c>
      <c r="I70">
        <v>114</v>
      </c>
      <c r="J70">
        <v>97</v>
      </c>
      <c r="K70">
        <v>105</v>
      </c>
      <c r="L70">
        <v>118</v>
      </c>
      <c r="M70">
        <v>103</v>
      </c>
      <c r="N70">
        <v>114</v>
      </c>
      <c r="O70">
        <v>102</v>
      </c>
      <c r="P70">
        <v>110</v>
      </c>
      <c r="Q70">
        <v>90</v>
      </c>
      <c r="R70">
        <v>62</v>
      </c>
      <c r="S70">
        <v>84</v>
      </c>
      <c r="T70">
        <v>64</v>
      </c>
      <c r="U70">
        <v>106</v>
      </c>
      <c r="V70">
        <v>95</v>
      </c>
      <c r="W70">
        <v>66</v>
      </c>
      <c r="X70">
        <v>120</v>
      </c>
      <c r="Y70">
        <v>75</v>
      </c>
      <c r="Z70">
        <v>91</v>
      </c>
      <c r="AA70">
        <v>55</v>
      </c>
      <c r="AB70">
        <v>102</v>
      </c>
      <c r="AC70">
        <v>50</v>
      </c>
      <c r="AD70">
        <v>51</v>
      </c>
      <c r="AE70">
        <v>69</v>
      </c>
      <c r="AF70">
        <v>69</v>
      </c>
      <c r="AG70">
        <v>96</v>
      </c>
    </row>
    <row r="71" spans="1:33" x14ac:dyDescent="0.3">
      <c r="A71" t="str">
        <f>INDEX([1]Sheet1!$E:$E,MATCH(B71,[1]Sheet1!$D:$D,0))</f>
        <v>Part 17 for Terios</v>
      </c>
      <c r="B71" t="s">
        <v>93</v>
      </c>
      <c r="C71">
        <v>117</v>
      </c>
      <c r="D71">
        <v>77</v>
      </c>
      <c r="E71">
        <v>92</v>
      </c>
      <c r="F71">
        <v>85</v>
      </c>
      <c r="G71">
        <v>50</v>
      </c>
      <c r="H71">
        <v>118</v>
      </c>
      <c r="I71">
        <v>80</v>
      </c>
      <c r="J71">
        <v>116</v>
      </c>
      <c r="K71">
        <v>97</v>
      </c>
      <c r="L71">
        <v>53</v>
      </c>
      <c r="M71">
        <v>93</v>
      </c>
      <c r="N71">
        <v>99</v>
      </c>
      <c r="O71">
        <v>87</v>
      </c>
      <c r="P71">
        <v>93</v>
      </c>
      <c r="Q71">
        <v>95</v>
      </c>
      <c r="R71">
        <v>77</v>
      </c>
      <c r="S71">
        <v>96</v>
      </c>
      <c r="T71">
        <v>115</v>
      </c>
      <c r="U71">
        <v>66</v>
      </c>
      <c r="V71">
        <v>83</v>
      </c>
      <c r="W71">
        <v>89</v>
      </c>
      <c r="X71">
        <v>56</v>
      </c>
      <c r="Y71">
        <v>102</v>
      </c>
      <c r="Z71">
        <v>79</v>
      </c>
      <c r="AA71">
        <v>85</v>
      </c>
      <c r="AB71">
        <v>63</v>
      </c>
      <c r="AC71">
        <v>57</v>
      </c>
      <c r="AD71">
        <v>66</v>
      </c>
      <c r="AE71">
        <v>69</v>
      </c>
      <c r="AF71">
        <v>117</v>
      </c>
      <c r="AG71">
        <v>89</v>
      </c>
    </row>
    <row r="72" spans="1:33" x14ac:dyDescent="0.3">
      <c r="A72" t="str">
        <f>INDEX([1]Sheet1!$E:$E,MATCH(B72,[1]Sheet1!$D:$D,0))</f>
        <v>Part 72 for Avanza</v>
      </c>
      <c r="B72" t="s">
        <v>94</v>
      </c>
      <c r="C72">
        <v>114</v>
      </c>
      <c r="D72">
        <v>77</v>
      </c>
      <c r="E72">
        <v>102</v>
      </c>
      <c r="F72">
        <v>86</v>
      </c>
      <c r="G72">
        <v>74</v>
      </c>
      <c r="H72">
        <v>109</v>
      </c>
      <c r="I72">
        <v>83</v>
      </c>
      <c r="J72">
        <v>102</v>
      </c>
      <c r="K72">
        <v>92</v>
      </c>
      <c r="L72">
        <v>119</v>
      </c>
      <c r="M72">
        <v>107</v>
      </c>
      <c r="N72">
        <v>92</v>
      </c>
      <c r="O72">
        <v>92</v>
      </c>
      <c r="P72">
        <v>80</v>
      </c>
      <c r="Q72">
        <v>80</v>
      </c>
      <c r="R72">
        <v>65</v>
      </c>
      <c r="S72">
        <v>67</v>
      </c>
      <c r="T72">
        <v>80</v>
      </c>
      <c r="U72">
        <v>119</v>
      </c>
      <c r="V72">
        <v>55</v>
      </c>
      <c r="W72">
        <v>77</v>
      </c>
      <c r="X72">
        <v>89</v>
      </c>
      <c r="Y72">
        <v>74</v>
      </c>
      <c r="Z72">
        <v>114</v>
      </c>
      <c r="AA72">
        <v>71</v>
      </c>
      <c r="AB72">
        <v>108</v>
      </c>
      <c r="AC72">
        <v>52</v>
      </c>
      <c r="AD72">
        <v>69</v>
      </c>
      <c r="AE72">
        <v>70</v>
      </c>
      <c r="AF72">
        <v>95</v>
      </c>
      <c r="AG72">
        <v>117</v>
      </c>
    </row>
    <row r="73" spans="1:33" x14ac:dyDescent="0.3">
      <c r="A73" t="str">
        <f>INDEX([1]Sheet1!$E:$E,MATCH(B73,[1]Sheet1!$D:$D,0))</f>
        <v>Part 175 for Xenia</v>
      </c>
      <c r="B73" t="s">
        <v>46</v>
      </c>
      <c r="C73">
        <v>70</v>
      </c>
      <c r="D73">
        <v>98</v>
      </c>
      <c r="E73">
        <v>110</v>
      </c>
      <c r="F73">
        <v>51</v>
      </c>
      <c r="G73">
        <v>81</v>
      </c>
      <c r="H73">
        <v>83</v>
      </c>
      <c r="I73">
        <v>82</v>
      </c>
      <c r="J73">
        <v>73</v>
      </c>
      <c r="K73">
        <v>54</v>
      </c>
      <c r="L73">
        <v>116</v>
      </c>
      <c r="M73">
        <v>82</v>
      </c>
      <c r="N73">
        <v>81</v>
      </c>
      <c r="O73">
        <v>74</v>
      </c>
      <c r="P73">
        <v>98</v>
      </c>
      <c r="Q73">
        <v>99</v>
      </c>
      <c r="R73">
        <v>75</v>
      </c>
      <c r="S73">
        <v>80</v>
      </c>
      <c r="T73">
        <v>51</v>
      </c>
      <c r="U73">
        <v>93</v>
      </c>
      <c r="V73">
        <v>119</v>
      </c>
      <c r="W73">
        <v>106</v>
      </c>
      <c r="X73">
        <v>119</v>
      </c>
      <c r="Y73">
        <v>85</v>
      </c>
      <c r="Z73">
        <v>105</v>
      </c>
      <c r="AA73">
        <v>50</v>
      </c>
      <c r="AB73">
        <v>99</v>
      </c>
      <c r="AC73">
        <v>89</v>
      </c>
      <c r="AD73">
        <v>112</v>
      </c>
      <c r="AE73">
        <v>69</v>
      </c>
      <c r="AF73">
        <v>105</v>
      </c>
      <c r="AG73">
        <v>79</v>
      </c>
    </row>
    <row r="74" spans="1:33" x14ac:dyDescent="0.3">
      <c r="A74" t="str">
        <f>INDEX([1]Sheet1!$E:$E,MATCH(B74,[1]Sheet1!$D:$D,0))</f>
        <v>Part 44 for Terios</v>
      </c>
      <c r="B74" t="s">
        <v>95</v>
      </c>
      <c r="C74">
        <v>86</v>
      </c>
      <c r="D74">
        <v>107</v>
      </c>
      <c r="E74">
        <v>70</v>
      </c>
      <c r="F74">
        <v>111</v>
      </c>
      <c r="G74">
        <v>81</v>
      </c>
      <c r="H74">
        <v>87</v>
      </c>
      <c r="I74">
        <v>96</v>
      </c>
      <c r="J74">
        <v>120</v>
      </c>
      <c r="K74">
        <v>87</v>
      </c>
      <c r="L74">
        <v>57</v>
      </c>
      <c r="M74">
        <v>54</v>
      </c>
      <c r="N74">
        <v>74</v>
      </c>
      <c r="O74">
        <v>63</v>
      </c>
      <c r="P74">
        <v>70</v>
      </c>
      <c r="Q74">
        <v>81</v>
      </c>
      <c r="R74">
        <v>64</v>
      </c>
      <c r="S74">
        <v>59</v>
      </c>
      <c r="T74">
        <v>54</v>
      </c>
      <c r="U74">
        <v>115</v>
      </c>
      <c r="V74">
        <v>67</v>
      </c>
      <c r="W74">
        <v>63</v>
      </c>
      <c r="X74">
        <v>83</v>
      </c>
      <c r="Y74">
        <v>88</v>
      </c>
      <c r="Z74">
        <v>88</v>
      </c>
      <c r="AA74">
        <v>84</v>
      </c>
      <c r="AB74">
        <v>112</v>
      </c>
      <c r="AC74">
        <v>111</v>
      </c>
      <c r="AD74">
        <v>86</v>
      </c>
      <c r="AE74">
        <v>65</v>
      </c>
      <c r="AF74">
        <v>114</v>
      </c>
      <c r="AG74">
        <v>116</v>
      </c>
    </row>
    <row r="75" spans="1:33" x14ac:dyDescent="0.3">
      <c r="A75" t="str">
        <f>INDEX([1]Sheet1!$E:$E,MATCH(B75,[1]Sheet1!$D:$D,0))</f>
        <v>Part 170 for Pajero Sport</v>
      </c>
      <c r="B75" t="s">
        <v>96</v>
      </c>
      <c r="C75">
        <v>78</v>
      </c>
      <c r="D75">
        <v>85</v>
      </c>
      <c r="E75">
        <v>114</v>
      </c>
      <c r="F75">
        <v>55</v>
      </c>
      <c r="G75">
        <v>114</v>
      </c>
      <c r="H75">
        <v>52</v>
      </c>
      <c r="I75">
        <v>67</v>
      </c>
      <c r="J75">
        <v>52</v>
      </c>
      <c r="K75">
        <v>62</v>
      </c>
      <c r="L75">
        <v>117</v>
      </c>
      <c r="M75">
        <v>81</v>
      </c>
      <c r="N75">
        <v>66</v>
      </c>
      <c r="O75">
        <v>57</v>
      </c>
      <c r="P75">
        <v>109</v>
      </c>
      <c r="Q75">
        <v>89</v>
      </c>
      <c r="R75">
        <v>99</v>
      </c>
      <c r="S75">
        <v>55</v>
      </c>
      <c r="T75">
        <v>51</v>
      </c>
      <c r="U75">
        <v>99</v>
      </c>
      <c r="V75">
        <v>86</v>
      </c>
      <c r="W75">
        <v>116</v>
      </c>
      <c r="X75">
        <v>55</v>
      </c>
      <c r="Y75">
        <v>64</v>
      </c>
      <c r="Z75">
        <v>113</v>
      </c>
      <c r="AA75">
        <v>76</v>
      </c>
      <c r="AB75">
        <v>116</v>
      </c>
      <c r="AC75">
        <v>58</v>
      </c>
      <c r="AD75">
        <v>93</v>
      </c>
      <c r="AE75">
        <v>52</v>
      </c>
      <c r="AF75">
        <v>52</v>
      </c>
      <c r="AG75">
        <v>78</v>
      </c>
    </row>
    <row r="76" spans="1:33" x14ac:dyDescent="0.3">
      <c r="A76" t="str">
        <f>INDEX([1]Sheet1!$E:$E,MATCH(B76,[1]Sheet1!$D:$D,0))</f>
        <v>Part 64 for Xpander</v>
      </c>
      <c r="B76" t="s">
        <v>76</v>
      </c>
      <c r="C76">
        <v>80</v>
      </c>
      <c r="D76">
        <v>86</v>
      </c>
      <c r="E76">
        <v>89</v>
      </c>
      <c r="F76">
        <v>73</v>
      </c>
      <c r="G76">
        <v>107</v>
      </c>
      <c r="H76">
        <v>57</v>
      </c>
      <c r="I76">
        <v>100</v>
      </c>
      <c r="J76">
        <v>58</v>
      </c>
      <c r="K76">
        <v>50</v>
      </c>
      <c r="L76">
        <v>56</v>
      </c>
      <c r="M76">
        <v>115</v>
      </c>
      <c r="N76">
        <v>108</v>
      </c>
      <c r="O76">
        <v>52</v>
      </c>
      <c r="P76">
        <v>74</v>
      </c>
      <c r="Q76">
        <v>106</v>
      </c>
      <c r="R76">
        <v>67</v>
      </c>
      <c r="S76">
        <v>61</v>
      </c>
      <c r="T76">
        <v>53</v>
      </c>
      <c r="U76">
        <v>119</v>
      </c>
      <c r="V76">
        <v>107</v>
      </c>
      <c r="W76">
        <v>109</v>
      </c>
      <c r="X76">
        <v>74</v>
      </c>
      <c r="Y76">
        <v>85</v>
      </c>
      <c r="Z76">
        <v>100</v>
      </c>
      <c r="AA76">
        <v>119</v>
      </c>
      <c r="AB76">
        <v>111</v>
      </c>
      <c r="AC76">
        <v>102</v>
      </c>
      <c r="AD76">
        <v>81</v>
      </c>
      <c r="AE76">
        <v>103</v>
      </c>
      <c r="AF76">
        <v>79</v>
      </c>
      <c r="AG76">
        <v>70</v>
      </c>
    </row>
    <row r="77" spans="1:33" x14ac:dyDescent="0.3">
      <c r="A77" t="str">
        <f>INDEX([1]Sheet1!$E:$E,MATCH(B77,[1]Sheet1!$D:$D,0))</f>
        <v>Part 153 for Pajero Sport</v>
      </c>
      <c r="B77" t="s">
        <v>65</v>
      </c>
      <c r="C77">
        <v>72</v>
      </c>
      <c r="D77">
        <v>55</v>
      </c>
      <c r="E77">
        <v>96</v>
      </c>
      <c r="F77">
        <v>62</v>
      </c>
      <c r="G77">
        <v>100</v>
      </c>
      <c r="H77">
        <v>100</v>
      </c>
      <c r="I77">
        <v>117</v>
      </c>
      <c r="J77">
        <v>82</v>
      </c>
      <c r="K77">
        <v>76</v>
      </c>
      <c r="L77">
        <v>86</v>
      </c>
      <c r="M77">
        <v>84</v>
      </c>
      <c r="N77">
        <v>102</v>
      </c>
      <c r="O77">
        <v>100</v>
      </c>
      <c r="P77">
        <v>63</v>
      </c>
      <c r="Q77">
        <v>53</v>
      </c>
      <c r="R77">
        <v>50</v>
      </c>
      <c r="S77">
        <v>98</v>
      </c>
      <c r="T77">
        <v>93</v>
      </c>
      <c r="U77">
        <v>111</v>
      </c>
      <c r="V77">
        <v>60</v>
      </c>
      <c r="W77">
        <v>102</v>
      </c>
      <c r="X77">
        <v>68</v>
      </c>
      <c r="Y77">
        <v>54</v>
      </c>
      <c r="Z77">
        <v>101</v>
      </c>
      <c r="AA77">
        <v>70</v>
      </c>
      <c r="AB77">
        <v>51</v>
      </c>
      <c r="AC77">
        <v>85</v>
      </c>
      <c r="AD77">
        <v>84</v>
      </c>
      <c r="AE77">
        <v>67</v>
      </c>
      <c r="AF77">
        <v>72</v>
      </c>
      <c r="AG77">
        <v>113</v>
      </c>
    </row>
    <row r="78" spans="1:33" x14ac:dyDescent="0.3">
      <c r="A78" t="str">
        <f>INDEX([1]Sheet1!$E:$E,MATCH(B78,[1]Sheet1!$D:$D,0))</f>
        <v>Part 169 for Xpander</v>
      </c>
      <c r="B78" t="s">
        <v>36</v>
      </c>
      <c r="C78">
        <v>111</v>
      </c>
      <c r="D78">
        <v>68</v>
      </c>
      <c r="E78">
        <v>112</v>
      </c>
      <c r="F78">
        <v>79</v>
      </c>
      <c r="G78">
        <v>68</v>
      </c>
      <c r="H78">
        <v>93</v>
      </c>
      <c r="I78">
        <v>85</v>
      </c>
      <c r="J78">
        <v>64</v>
      </c>
      <c r="K78">
        <v>76</v>
      </c>
      <c r="L78">
        <v>57</v>
      </c>
      <c r="M78">
        <v>90</v>
      </c>
      <c r="N78">
        <v>90</v>
      </c>
      <c r="O78">
        <v>97</v>
      </c>
      <c r="P78">
        <v>95</v>
      </c>
      <c r="Q78">
        <v>59</v>
      </c>
      <c r="R78">
        <v>103</v>
      </c>
      <c r="S78">
        <v>109</v>
      </c>
      <c r="T78">
        <v>64</v>
      </c>
      <c r="U78">
        <v>72</v>
      </c>
      <c r="V78">
        <v>52</v>
      </c>
      <c r="W78">
        <v>62</v>
      </c>
      <c r="X78">
        <v>71</v>
      </c>
      <c r="Y78">
        <v>115</v>
      </c>
      <c r="Z78">
        <v>100</v>
      </c>
      <c r="AA78">
        <v>57</v>
      </c>
      <c r="AB78">
        <v>73</v>
      </c>
      <c r="AC78">
        <v>69</v>
      </c>
      <c r="AD78">
        <v>120</v>
      </c>
      <c r="AE78">
        <v>107</v>
      </c>
      <c r="AF78">
        <v>104</v>
      </c>
      <c r="AG78">
        <v>53</v>
      </c>
    </row>
    <row r="79" spans="1:33" x14ac:dyDescent="0.3">
      <c r="A79" t="str">
        <f>INDEX([1]Sheet1!$E:$E,MATCH(B79,[1]Sheet1!$D:$D,0))</f>
        <v>Part 176 for Xenia</v>
      </c>
      <c r="B79" t="s">
        <v>97</v>
      </c>
      <c r="C79">
        <v>113</v>
      </c>
      <c r="D79">
        <v>82</v>
      </c>
      <c r="E79">
        <v>119</v>
      </c>
      <c r="F79">
        <v>78</v>
      </c>
      <c r="G79">
        <v>84</v>
      </c>
      <c r="H79">
        <v>69</v>
      </c>
      <c r="I79">
        <v>68</v>
      </c>
      <c r="J79">
        <v>88</v>
      </c>
      <c r="K79">
        <v>113</v>
      </c>
      <c r="L79">
        <v>78</v>
      </c>
      <c r="M79">
        <v>60</v>
      </c>
      <c r="N79">
        <v>117</v>
      </c>
      <c r="O79">
        <v>99</v>
      </c>
      <c r="P79">
        <v>58</v>
      </c>
      <c r="Q79">
        <v>56</v>
      </c>
      <c r="R79">
        <v>118</v>
      </c>
      <c r="S79">
        <v>101</v>
      </c>
      <c r="T79">
        <v>98</v>
      </c>
      <c r="U79">
        <v>55</v>
      </c>
      <c r="V79">
        <v>108</v>
      </c>
      <c r="W79">
        <v>108</v>
      </c>
      <c r="X79">
        <v>99</v>
      </c>
      <c r="Y79">
        <v>58</v>
      </c>
      <c r="Z79">
        <v>58</v>
      </c>
      <c r="AA79">
        <v>95</v>
      </c>
      <c r="AB79">
        <v>65</v>
      </c>
      <c r="AC79">
        <v>70</v>
      </c>
      <c r="AD79">
        <v>96</v>
      </c>
      <c r="AE79">
        <v>86</v>
      </c>
      <c r="AF79">
        <v>78</v>
      </c>
      <c r="AG79">
        <v>87</v>
      </c>
    </row>
    <row r="80" spans="1:33" x14ac:dyDescent="0.3">
      <c r="A80" t="str">
        <f>INDEX([1]Sheet1!$E:$E,MATCH(B80,[1]Sheet1!$D:$D,0))</f>
        <v>Part 91 for Yaris</v>
      </c>
      <c r="B80" t="s">
        <v>43</v>
      </c>
      <c r="C80">
        <v>55</v>
      </c>
      <c r="D80">
        <v>87</v>
      </c>
      <c r="E80">
        <v>87</v>
      </c>
      <c r="F80">
        <v>107</v>
      </c>
      <c r="G80">
        <v>55</v>
      </c>
      <c r="H80">
        <v>112</v>
      </c>
      <c r="I80">
        <v>72</v>
      </c>
      <c r="J80">
        <v>94</v>
      </c>
      <c r="K80">
        <v>56</v>
      </c>
      <c r="L80">
        <v>98</v>
      </c>
      <c r="M80">
        <v>58</v>
      </c>
      <c r="N80">
        <v>101</v>
      </c>
      <c r="O80">
        <v>81</v>
      </c>
      <c r="P80">
        <v>118</v>
      </c>
      <c r="Q80">
        <v>70</v>
      </c>
      <c r="R80">
        <v>94</v>
      </c>
      <c r="S80">
        <v>54</v>
      </c>
      <c r="T80">
        <v>74</v>
      </c>
      <c r="U80">
        <v>87</v>
      </c>
      <c r="V80">
        <v>61</v>
      </c>
      <c r="W80">
        <v>51</v>
      </c>
      <c r="X80">
        <v>98</v>
      </c>
      <c r="Y80">
        <v>75</v>
      </c>
      <c r="Z80">
        <v>56</v>
      </c>
      <c r="AA80">
        <v>89</v>
      </c>
      <c r="AB80">
        <v>83</v>
      </c>
      <c r="AC80">
        <v>67</v>
      </c>
      <c r="AD80">
        <v>97</v>
      </c>
      <c r="AE80">
        <v>68</v>
      </c>
      <c r="AF80">
        <v>109</v>
      </c>
      <c r="AG80">
        <v>98</v>
      </c>
    </row>
    <row r="81" spans="1:33" x14ac:dyDescent="0.3">
      <c r="A81" t="str">
        <f>INDEX([1]Sheet1!$E:$E,MATCH(B81,[1]Sheet1!$D:$D,0))</f>
        <v>Part 135 for Vios</v>
      </c>
      <c r="B81" t="s">
        <v>98</v>
      </c>
      <c r="C81">
        <v>103</v>
      </c>
      <c r="D81">
        <v>78</v>
      </c>
      <c r="E81">
        <v>92</v>
      </c>
      <c r="F81">
        <v>119</v>
      </c>
      <c r="G81">
        <v>65</v>
      </c>
      <c r="H81">
        <v>55</v>
      </c>
      <c r="I81">
        <v>88</v>
      </c>
      <c r="J81">
        <v>67</v>
      </c>
      <c r="K81">
        <v>120</v>
      </c>
      <c r="L81">
        <v>79</v>
      </c>
      <c r="M81">
        <v>70</v>
      </c>
      <c r="N81">
        <v>56</v>
      </c>
      <c r="O81">
        <v>56</v>
      </c>
      <c r="P81">
        <v>88</v>
      </c>
      <c r="Q81">
        <v>58</v>
      </c>
      <c r="R81">
        <v>89</v>
      </c>
      <c r="S81">
        <v>93</v>
      </c>
      <c r="T81">
        <v>107</v>
      </c>
      <c r="U81">
        <v>56</v>
      </c>
      <c r="V81">
        <v>82</v>
      </c>
      <c r="W81">
        <v>106</v>
      </c>
      <c r="X81">
        <v>106</v>
      </c>
      <c r="Y81">
        <v>70</v>
      </c>
      <c r="Z81">
        <v>108</v>
      </c>
      <c r="AA81">
        <v>106</v>
      </c>
      <c r="AB81">
        <v>57</v>
      </c>
      <c r="AC81">
        <v>62</v>
      </c>
      <c r="AD81">
        <v>74</v>
      </c>
      <c r="AE81">
        <v>78</v>
      </c>
      <c r="AF81">
        <v>55</v>
      </c>
      <c r="AG8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Fauzan Badri</cp:lastModifiedBy>
  <dcterms:created xsi:type="dcterms:W3CDTF">2025-11-27T07:15:38Z</dcterms:created>
  <dcterms:modified xsi:type="dcterms:W3CDTF">2025-11-28T10:01:25Z</dcterms:modified>
</cp:coreProperties>
</file>